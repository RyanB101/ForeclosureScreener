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Deals" sheetId="3" state="visible" r:id="rId5"/>
    <sheet name="Underwriting" sheetId="4" state="visible" r:id="rId6"/>
    <sheet name="Bid Ladder" sheetId="5" state="visible" r:id="rId7"/>
    <sheet name="Portfolio" sheetId="6" state="visible" r:id="rId8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<sst xmlns="http://schemas.openxmlformats.org/spreadsheetml/2006/main" count="298" uniqueCount="239">
  <si>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</si>
  <si>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</si>
  <si>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</si>
  <si>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</si>
  <si>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</si>
  <si>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</si>
  <si>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</si>
  <si>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</si>
  <si>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</si>
  <si>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</si>
  <si>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</si>
  <si>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</si>
  <si>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</si>
  <si>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</si>
  <si>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</si>
  <si>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</si>
  <si>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</si>
  <si>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</si>
  <si>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</si>
  <si>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</si>
  <si>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</si>
  <si>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</si>
  <si>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</si>
  <si>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</si>
  <si>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</si>
  <si>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</si>
  <si>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</si>
  <si>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</si>
  <si>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</si>
  <si>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</si>
  <si>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</si>
  <si>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</si>
  <si>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</si>
  <si>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</si>
  <si>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</si>
  <si>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</si>
  <si>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</si>
  <si>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</si>
  <si>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</si>
  <si>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</si>
  <si>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</si>
  <si>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</si>
  <si>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</si>
  <si>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</si>
  <si>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</si>
  <si>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</si>
  <si>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</si>
  <si>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</si>
  <si>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</si>
  <si>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</si>
  <si>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</si>
  <si>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</si>
  <si>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</si>
  <si>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</si>
  <si>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</si>
  <si>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</si>
  <si>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</si>
  <si>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</si>
  <si>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</si>
  <si>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</si>
  <si>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</si>
  <si>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</si>
  <si>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</si>
  <si>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</si>
  <si>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</si>
  <si>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</si>
  <si>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</si>
  <si>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</si>
  <si>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</si>
  <si>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</si>
  <si>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</si>
  <si>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</si>
  <si>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</si>
  <si>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</si>
  <si>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</si>
  <si>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</si>
  <si>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</si>
  <si>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</si>
  <si>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</si>
  <si>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</si>
  <si>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</si>
  <si>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</si>
  <si>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</si>
  <si>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</si>
  <si>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</si>
  <si>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</si>
  <si>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</si>
  <si>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</si>
  <si>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</si>
  <si>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</si>
  <si>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</si>
  <si>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</si>
  <si>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</si>
  <si>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</si>
  <si>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</si>
  <si>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</si>
  <si>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</si>
  <si>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</si>
  <si>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</si>
  <si>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</si>
  <si>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</si>
  <si>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</si>
  <si>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</si>
  <si>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</si>
  <si>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</si>
  <si>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</si>
  <si>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</si>
  <si>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</si>
  <si>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</si>
  <si>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</si>
  <si>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</si>
  <si>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</si>
  <si>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</si>
  <si>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</si>
  <si>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</si>
  <si>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</si>
  <si>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</si>
  <si>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</si>
  <si>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</si>
  <si>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Light</t>
  </si>
  <si>
    <t xml:space="preserve">Paint, floors, fixtures, minor kitchen/bath refresh</t>
  </si>
  <si>
    <t xml:space="preserve">Medium</t>
  </si>
  <si>
    <t xml:space="preserve">New kitchen and bath, some systems, windows</t>
  </si>
  <si>
    <t xml:space="preserve">Heavy</t>
  </si>
  <si>
    <t xml:space="preserve">All systems, kitchen, baths, drywall, roof repair</t>
  </si>
  <si>
    <t xml:space="preserve">Gut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</si>
  <si>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</si>
  <si>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</si>
  <si>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</si>
  <si>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</si>
  <si>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</si>
  <si>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</si>
  <si>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</si>
  <si>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</si>
  <si>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</si>
  <si>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</si>
  <si>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</si>
  <si>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</si>
  <si>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</si>
  <si>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</si>
  <si>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</si>
  <si>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</si>
  <si>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</si>
  <si>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</si>
  <si>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</si>
  <si>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</si>
  <si>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</si>
  <si>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</si>
  <si>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</si>
  <si>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</si>
  <si>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</si>
  <si>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</si>
  <si>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1311511-0</t>
  </si>
  <si>
    <t xml:space="preserve">0 Prior screen (ARV 695k, Medium, occupied)</t>
  </si>
  <si>
    <t xml:space="preserve">1st</t>
  </si>
  <si>
    <t xml:space="preserve">Occupied</t>
  </si>
  <si>
    <t xml:space="preserve">12 W Palmer deep dive scenario</t>
  </si>
  <si>
    <t xml:space="preserve">1311511-1</t>
  </si>
  <si>
    <t xml:space="preserve">1 Base: ARV 675k, Heavy (stalled 2019 demo), vacant</t>
  </si>
  <si>
    <t xml:space="preserve">Vacant</t>
  </si>
  <si>
    <t xml:space="preserve">1311511-2</t>
  </si>
  <si>
    <t xml:space="preserve">2 Base but occupied (squatter/holdover)</t>
  </si>
  <si>
    <t xml:space="preserve">1311511-3</t>
  </si>
  <si>
    <t xml:space="preserve">3 Downside: ARV 640k, Gut, vacant</t>
  </si>
  <si>
    <t xml:space="preserve">1311511-4</t>
  </si>
  <si>
    <t xml:space="preserve">4 Upside: ARV 710k, Heavy, vacant</t>
  </si>
  <si>
    <t xml:space="preserve">1311511-5</t>
  </si>
  <si>
    <t xml:space="preserve">5 Junior plaintiff: base + $300k senior survives</t>
  </si>
  <si>
    <t xml:space="preserve">2nd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</si>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</sst>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[RED]&quot;-$&quot;#,##0"/>
    <numFmt numFmtId="166" formatCode="0.0%"/>
    <numFmt numFmtId="167" formatCode="0.000%"/>
    <numFmt numFmtId="168" formatCode="0.0&quot; mo&quot;"/>
    <numFmt numFmtId="169" formatCode="0.0000%"/>
    <numFmt numFmtId="170" formatCode="0.00%"/>
    <numFmt numFmtId="171" formatCode="0"/>
    <numFmt numFmtId="172" formatCode="0.00\x"/>
    <numFmt numFmtId="173" formatCode="#,##0"/>
    <numFmt numFmtId="174" formatCode="0%&quot; of ARV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8.3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18</v>
      </c>
    </row>
    <row r="3" customFormat="false" ht="45" hidden="false" customHeight="true" outlineLevel="0" collapsed="false">
      <c r="A3" s="5" t="s">
        <v>19</v>
      </c>
      <c r="B3" s="5" t="s">
        <v>20</v>
      </c>
      <c r="C3" s="5" t="s">
        <v>21</v>
      </c>
    </row>
    <row r="4" customFormat="false" ht="15" hidden="false" customHeight="false" outlineLevel="0" collapsed="false">
      <c r="A4" s="6" t="s">
        <v>22</v>
      </c>
      <c r="B4" s="7"/>
      <c r="C4" s="7"/>
    </row>
    <row r="5" customFormat="false" ht="15" hidden="false" customHeight="false" outlineLevel="0" collapsed="false">
      <c r="A5" s="0" t="s">
        <v>23</v>
      </c>
      <c r="B5" s="8" t="n">
        <v>50000</v>
      </c>
      <c r="C5" s="9" t="s">
        <v>24</v>
      </c>
    </row>
    <row r="6" customFormat="false" ht="15" hidden="false" customHeight="false" outlineLevel="0" collapsed="false">
      <c r="A6" s="0" t="s">
        <v>25</v>
      </c>
      <c r="B6" s="10" t="n">
        <v>0.15</v>
      </c>
      <c r="C6" s="9" t="s">
        <v>26</v>
      </c>
    </row>
    <row r="7" customFormat="false" ht="15" hidden="false" customHeight="false" outlineLevel="0" collapsed="false">
      <c r="A7" s="0" t="s">
        <v>27</v>
      </c>
      <c r="B7" s="8" t="n">
        <v>300000</v>
      </c>
      <c r="C7" s="9" t="s">
        <v>28</v>
      </c>
    </row>
    <row r="8" customFormat="false" ht="15" hidden="false" customHeight="false" outlineLevel="0" collapsed="false">
      <c r="A8" s="0" t="s">
        <v>29</v>
      </c>
      <c r="B8" s="10" t="n">
        <v>0.12</v>
      </c>
      <c r="C8" s="9" t="s">
        <v>30</v>
      </c>
    </row>
    <row r="9" customFormat="false" ht="15" hidden="false" customHeight="false" outlineLevel="0" collapsed="false">
      <c r="A9" s="0" t="s">
        <v>31</v>
      </c>
      <c r="B9" s="11" t="s">
        <v>32</v>
      </c>
      <c r="C9" s="9" t="s">
        <v>33</v>
      </c>
    </row>
    <row r="10" customFormat="false" ht="15" hidden="false" customHeight="false" outlineLevel="0" collapsed="false">
      <c r="A10" s="0" t="s">
        <v>34</v>
      </c>
      <c r="B10" s="8" t="n">
        <v>1000000</v>
      </c>
      <c r="C10" s="9" t="s">
        <v>35</v>
      </c>
    </row>
    <row r="11" customFormat="false" ht="15" hidden="false" customHeight="false" outlineLevel="0" collapsed="false">
      <c r="A11" s="6" t="s">
        <v>36</v>
      </c>
      <c r="B11" s="7"/>
      <c r="C11" s="7"/>
    </row>
    <row r="12" customFormat="false" ht="15" hidden="false" customHeight="false" outlineLevel="0" collapsed="false">
      <c r="A12" s="0" t="s">
        <v>37</v>
      </c>
      <c r="B12" s="10" t="n">
        <v>0.015</v>
      </c>
      <c r="C12" s="9" t="s">
        <v>38</v>
      </c>
    </row>
    <row r="13" customFormat="false" ht="15" hidden="false" customHeight="false" outlineLevel="0" collapsed="false">
      <c r="A13" s="0" t="s">
        <v>39</v>
      </c>
      <c r="B13" s="10" t="n">
        <v>0.1</v>
      </c>
      <c r="C13" s="9" t="s">
        <v>40</v>
      </c>
    </row>
    <row r="14" customFormat="false" ht="15" hidden="false" customHeight="false" outlineLevel="0" collapsed="false">
      <c r="A14" s="0" t="s">
        <v>41</v>
      </c>
      <c r="B14" s="8" t="n">
        <v>70</v>
      </c>
      <c r="C14" s="9" t="s">
        <v>42</v>
      </c>
    </row>
    <row r="15" customFormat="false" ht="15" hidden="false" customHeight="false" outlineLevel="0" collapsed="false">
      <c r="A15" s="0" t="s">
        <v>43</v>
      </c>
      <c r="B15" s="8" t="n">
        <v>5000</v>
      </c>
      <c r="C15" s="9" t="s">
        <v>44</v>
      </c>
    </row>
    <row r="16" customFormat="false" ht="15" hidden="false" customHeight="false" outlineLevel="0" collapsed="false">
      <c r="A16" s="0" t="s">
        <v>45</v>
      </c>
      <c r="B16" s="12" t="n">
        <v>0.04578</v>
      </c>
      <c r="C16" s="9" t="s">
        <v>46</v>
      </c>
    </row>
    <row r="17" customFormat="false" ht="15" hidden="false" customHeight="false" outlineLevel="0" collapsed="false">
      <c r="A17" s="0" t="s">
        <v>47</v>
      </c>
      <c r="B17" s="8" t="n">
        <v>2500</v>
      </c>
      <c r="C17" s="9" t="s">
        <v>48</v>
      </c>
    </row>
    <row r="18" customFormat="false" ht="15" hidden="false" customHeight="false" outlineLevel="0" collapsed="false">
      <c r="A18" s="0" t="s">
        <v>49</v>
      </c>
      <c r="B18" s="8" t="n">
        <v>2000</v>
      </c>
      <c r="C18" s="9" t="s">
        <v>50</v>
      </c>
    </row>
    <row r="19" customFormat="false" ht="15" hidden="false" customHeight="false" outlineLevel="0" collapsed="false">
      <c r="A19" s="0" t="s">
        <v>51</v>
      </c>
      <c r="B19" s="8" t="n">
        <v>2500</v>
      </c>
      <c r="C19" s="9" t="s">
        <v>52</v>
      </c>
    </row>
    <row r="20" customFormat="false" ht="15" hidden="false" customHeight="false" outlineLevel="0" collapsed="false">
      <c r="A20" s="6" t="s">
        <v>53</v>
      </c>
      <c r="B20" s="7"/>
      <c r="C20" s="7"/>
    </row>
    <row r="21" customFormat="false" ht="15" hidden="false" customHeight="false" outlineLevel="0" collapsed="false">
      <c r="A21" s="0" t="s">
        <v>54</v>
      </c>
      <c r="B21" s="13" t="n">
        <v>12</v>
      </c>
      <c r="C21" s="9" t="s">
        <v>55</v>
      </c>
    </row>
    <row r="22" customFormat="false" ht="15" hidden="false" customHeight="false" outlineLevel="0" collapsed="false">
      <c r="A22" s="0" t="s">
        <v>56</v>
      </c>
      <c r="B22" s="13" t="n">
        <v>5</v>
      </c>
      <c r="C22" s="9" t="s">
        <v>57</v>
      </c>
    </row>
    <row r="23" customFormat="false" ht="15" hidden="false" customHeight="false" outlineLevel="0" collapsed="false">
      <c r="A23" s="0" t="s">
        <v>58</v>
      </c>
      <c r="B23" s="11" t="s">
        <v>59</v>
      </c>
      <c r="C23" s="9" t="s">
        <v>60</v>
      </c>
    </row>
    <row r="24" customFormat="false" ht="15" hidden="false" customHeight="false" outlineLevel="0" collapsed="false">
      <c r="A24" s="0" t="s">
        <v>61</v>
      </c>
      <c r="B24" s="13" t="n">
        <v>3</v>
      </c>
    </row>
    <row r="25" customFormat="false" ht="15" hidden="false" customHeight="false" outlineLevel="0" collapsed="false">
      <c r="A25" s="0" t="s">
        <v>62</v>
      </c>
      <c r="B25" s="13" t="n">
        <v>2</v>
      </c>
    </row>
    <row r="26" customFormat="false" ht="15" hidden="false" customHeight="false" outlineLevel="0" collapsed="false">
      <c r="A26" s="6" t="s">
        <v>63</v>
      </c>
      <c r="B26" s="7"/>
      <c r="C26" s="7"/>
    </row>
    <row r="27" customFormat="false" ht="15" hidden="false" customHeight="false" outlineLevel="0" collapsed="false">
      <c r="A27" s="0" t="s">
        <v>64</v>
      </c>
      <c r="B27" s="14" t="n">
        <v>0.013998</v>
      </c>
      <c r="C27" s="9" t="s">
        <v>65</v>
      </c>
    </row>
    <row r="28" customFormat="false" ht="15" hidden="false" customHeight="false" outlineLevel="0" collapsed="false">
      <c r="A28" s="0" t="s">
        <v>66</v>
      </c>
      <c r="B28" s="8" t="n">
        <v>175</v>
      </c>
    </row>
    <row r="29" customFormat="false" ht="15" hidden="false" customHeight="false" outlineLevel="0" collapsed="false">
      <c r="A29" s="0" t="s">
        <v>67</v>
      </c>
      <c r="B29" s="8" t="n">
        <v>150</v>
      </c>
      <c r="C29" s="9" t="s">
        <v>68</v>
      </c>
    </row>
    <row r="30" customFormat="false" ht="15" hidden="false" customHeight="false" outlineLevel="0" collapsed="false">
      <c r="A30" s="0" t="s">
        <v>69</v>
      </c>
      <c r="B30" s="8" t="n">
        <v>100</v>
      </c>
    </row>
    <row r="31" customFormat="false" ht="15" hidden="false" customHeight="false" outlineLevel="0" collapsed="false">
      <c r="A31" s="0" t="s">
        <v>70</v>
      </c>
      <c r="B31" s="13" t="n">
        <v>6</v>
      </c>
      <c r="C31" s="9" t="s">
        <v>71</v>
      </c>
    </row>
    <row r="32" customFormat="false" ht="15" hidden="false" customHeight="false" outlineLevel="0" collapsed="false">
      <c r="A32" s="6" t="s">
        <v>72</v>
      </c>
      <c r="B32" s="7"/>
      <c r="C32" s="7"/>
    </row>
    <row r="33" customFormat="false" ht="15" hidden="false" customHeight="false" outlineLevel="0" collapsed="false">
      <c r="A33" s="0" t="s">
        <v>73</v>
      </c>
      <c r="B33" s="8" t="n">
        <v>5000</v>
      </c>
      <c r="C33" s="9" t="s">
        <v>74</v>
      </c>
    </row>
    <row r="34" customFormat="false" ht="15" hidden="false" customHeight="false" outlineLevel="0" collapsed="false">
      <c r="A34" s="6" t="s">
        <v>75</v>
      </c>
      <c r="B34" s="7"/>
      <c r="C34" s="7"/>
    </row>
    <row r="35" customFormat="false" ht="15" hidden="false" customHeight="false" outlineLevel="0" collapsed="false">
      <c r="A35" s="0" t="s">
        <v>76</v>
      </c>
      <c r="B35" s="10" t="n">
        <v>0.2</v>
      </c>
      <c r="C35" s="9" t="s">
        <v>77</v>
      </c>
    </row>
    <row r="36" customFormat="false" ht="15" hidden="false" customHeight="false" outlineLevel="0" collapsed="false">
      <c r="A36" s="0" t="s">
        <v>78</v>
      </c>
      <c r="B36" s="8" t="n">
        <v>10000</v>
      </c>
      <c r="C36" s="9" t="s">
        <v>79</v>
      </c>
    </row>
    <row r="37" customFormat="false" ht="15" hidden="false" customHeight="false" outlineLevel="0" collapsed="false">
      <c r="A37" s="6" t="s">
        <v>80</v>
      </c>
      <c r="B37" s="7"/>
      <c r="C37" s="7"/>
    </row>
    <row r="38" customFormat="false" ht="15" hidden="false" customHeight="false" outlineLevel="0" collapsed="false">
      <c r="A38" s="0" t="s">
        <v>81</v>
      </c>
      <c r="B38" s="10" t="n">
        <v>0.05</v>
      </c>
    </row>
    <row r="39" customFormat="false" ht="15" hidden="false" customHeight="false" outlineLevel="0" collapsed="false">
      <c r="A39" s="0" t="s">
        <v>82</v>
      </c>
      <c r="B39" s="12" t="n">
        <v>0.02289</v>
      </c>
      <c r="C39" s="9" t="s">
        <v>83</v>
      </c>
    </row>
    <row r="40" customFormat="false" ht="15" hidden="false" customHeight="false" outlineLevel="0" collapsed="false">
      <c r="A40" s="0" t="s">
        <v>84</v>
      </c>
      <c r="B40" s="10" t="n">
        <v>0.01</v>
      </c>
    </row>
    <row r="41" customFormat="false" ht="15" hidden="false" customHeight="false" outlineLevel="0" collapsed="false">
      <c r="A41" s="0" t="s">
        <v>85</v>
      </c>
      <c r="B41" s="10" t="n">
        <v>0.01</v>
      </c>
    </row>
    <row r="42" customFormat="false" ht="15" hidden="false" customHeight="false" outlineLevel="0" collapsed="false">
      <c r="A42" s="6" t="s">
        <v>86</v>
      </c>
      <c r="B42" s="7"/>
      <c r="C42" s="7"/>
    </row>
    <row r="43" customFormat="false" ht="15" hidden="false" customHeight="false" outlineLevel="0" collapsed="false">
      <c r="A43" s="0" t="s">
        <v>87</v>
      </c>
      <c r="B43" s="10" t="n">
        <v>0.07</v>
      </c>
      <c r="C43" s="9" t="s">
        <v>88</v>
      </c>
    </row>
    <row r="44" customFormat="false" ht="15" hidden="false" customHeight="false" outlineLevel="0" collapsed="false">
      <c r="A44" s="0" t="s">
        <v>89</v>
      </c>
      <c r="B44" s="10" t="n">
        <v>0.08</v>
      </c>
      <c r="C44" s="9" t="s">
        <v>90</v>
      </c>
    </row>
    <row r="45" customFormat="false" ht="15" hidden="false" customHeight="false" outlineLevel="0" collapsed="false">
      <c r="A45" s="0" t="s">
        <v>91</v>
      </c>
      <c r="B45" s="10" t="n">
        <v>0.07</v>
      </c>
      <c r="C45" s="9" t="s">
        <v>90</v>
      </c>
    </row>
    <row r="46" customFormat="false" ht="15" hidden="false" customHeight="false" outlineLevel="0" collapsed="false">
      <c r="A46" s="0" t="s">
        <v>92</v>
      </c>
      <c r="B46" s="10" t="n">
        <v>0.05</v>
      </c>
      <c r="C46" s="9" t="s">
        <v>90</v>
      </c>
    </row>
    <row r="47" customFormat="false" ht="15" hidden="false" customHeight="false" outlineLevel="0" collapsed="false">
      <c r="A47" s="0" t="s">
        <v>93</v>
      </c>
      <c r="B47" s="8" t="n">
        <v>1200</v>
      </c>
    </row>
    <row r="48" customFormat="false" ht="15" hidden="false" customHeight="false" outlineLevel="0" collapsed="false">
      <c r="A48" s="0" t="s">
        <v>94</v>
      </c>
      <c r="B48" s="8" t="n">
        <v>700</v>
      </c>
      <c r="C48" s="9" t="s">
        <v>95</v>
      </c>
    </row>
    <row r="49" customFormat="false" ht="15" hidden="false" customHeight="false" outlineLevel="0" collapsed="false">
      <c r="A49" s="0" t="s">
        <v>96</v>
      </c>
      <c r="B49" s="10" t="n">
        <v>0.75</v>
      </c>
      <c r="C49" s="9" t="s">
        <v>97</v>
      </c>
    </row>
    <row r="50" customFormat="false" ht="15" hidden="false" customHeight="false" outlineLevel="0" collapsed="false">
      <c r="A50" s="0" t="s">
        <v>98</v>
      </c>
      <c r="B50" s="15" t="n">
        <v>0.0725</v>
      </c>
    </row>
    <row r="51" customFormat="false" ht="15" hidden="false" customHeight="false" outlineLevel="0" collapsed="false">
      <c r="A51" s="0" t="s">
        <v>99</v>
      </c>
      <c r="B51" s="16" t="n">
        <v>30</v>
      </c>
    </row>
    <row r="52" customFormat="false" ht="15" hidden="false" customHeight="false" outlineLevel="0" collapsed="false">
      <c r="A52" s="0" t="s">
        <v>100</v>
      </c>
      <c r="B52" s="17" t="n">
        <v>1.2</v>
      </c>
      <c r="C52" s="9" t="s">
        <v>101</v>
      </c>
    </row>
    <row r="53" customFormat="false" ht="15" hidden="false" customHeight="false" outlineLevel="0" collapsed="false">
      <c r="A53" s="0" t="s">
        <v>102</v>
      </c>
      <c r="B53" s="10" t="n">
        <v>0.03</v>
      </c>
    </row>
    <row r="54" customFormat="false" ht="15" hidden="false" customHeight="false" outlineLevel="0" collapsed="false">
      <c r="A54" s="6" t="s">
        <v>103</v>
      </c>
      <c r="B54" s="7"/>
      <c r="C54" s="7"/>
    </row>
    <row r="55" customFormat="false" ht="15" hidden="false" customHeight="false" outlineLevel="0" collapsed="false">
      <c r="A55" s="0" t="s">
        <v>104</v>
      </c>
      <c r="B55" s="10" t="n">
        <v>0.15</v>
      </c>
      <c r="C55" s="9" t="s">
        <v>105</v>
      </c>
    </row>
    <row r="56" customFormat="false" ht="15" hidden="false" customHeight="false" outlineLevel="0" collapsed="false">
      <c r="A56" s="0" t="s">
        <v>106</v>
      </c>
      <c r="B56" s="8" t="n">
        <v>15000</v>
      </c>
    </row>
    <row r="57" customFormat="false" ht="15" hidden="false" customHeight="false" outlineLevel="0" collapsed="false">
      <c r="A57" s="6" t="s">
        <v>107</v>
      </c>
      <c r="B57" s="7"/>
      <c r="C57" s="7"/>
    </row>
    <row r="58" customFormat="false" ht="15" hidden="false" customHeight="false" outlineLevel="0" collapsed="false">
      <c r="A58" s="0" t="s">
        <v>108</v>
      </c>
      <c r="B58" s="8" t="n">
        <v>30000</v>
      </c>
    </row>
    <row r="59" customFormat="false" ht="15" hidden="false" customHeight="false" outlineLevel="0" collapsed="false">
      <c r="A59" s="0" t="s">
        <v>109</v>
      </c>
      <c r="B59" s="8" t="n">
        <v>225</v>
      </c>
    </row>
    <row r="60" customFormat="false" ht="15" hidden="false" customHeight="false" outlineLevel="0" collapsed="false">
      <c r="A60" s="0" t="s">
        <v>110</v>
      </c>
      <c r="B60" s="10" t="n">
        <v>0.15</v>
      </c>
      <c r="C60" s="9" t="s">
        <v>111</v>
      </c>
    </row>
    <row r="61" customFormat="false" ht="15" hidden="false" customHeight="false" outlineLevel="0" collapsed="false">
      <c r="A61" s="0" t="s">
        <v>112</v>
      </c>
      <c r="B61" s="13" t="n">
        <v>14</v>
      </c>
    </row>
    <row r="62" customFormat="false" ht="15" hidden="false" customHeight="false" outlineLevel="0" collapsed="false">
      <c r="A62" s="0" t="s">
        <v>113</v>
      </c>
      <c r="B62" s="10" t="n">
        <v>0.15</v>
      </c>
      <c r="C62" s="9" t="s">
        <v>114</v>
      </c>
    </row>
    <row r="64" customFormat="false" ht="19.5" hidden="false" customHeight="true" outlineLevel="0" collapsed="false">
      <c r="A64" s="5" t="s">
        <v>115</v>
      </c>
      <c r="B64" s="5" t="s">
        <v>116</v>
      </c>
      <c r="C64" s="5" t="s">
        <v>117</v>
      </c>
      <c r="D64" s="5" t="s">
        <v>118</v>
      </c>
    </row>
    <row r="65" customFormat="false" ht="15" hidden="false" customHeight="false" outlineLevel="0" collapsed="false">
      <c r="A65" s="0" t="s">
        <v>119</v>
      </c>
      <c r="B65" s="8" t="n">
        <v>30</v>
      </c>
      <c r="C65" s="13" t="n">
        <v>2</v>
      </c>
      <c r="D65" s="9" t="s">
        <v>120</v>
      </c>
    </row>
    <row r="66" customFormat="false" ht="15" hidden="false" customHeight="false" outlineLevel="0" collapsed="false">
      <c r="A66" s="0" t="s">
        <v>121</v>
      </c>
      <c r="B66" s="8" t="n">
        <v>55</v>
      </c>
      <c r="C66" s="13" t="n">
        <v>3</v>
      </c>
      <c r="D66" s="9" t="s">
        <v>122</v>
      </c>
    </row>
    <row r="67" customFormat="false" ht="15" hidden="false" customHeight="false" outlineLevel="0" collapsed="false">
      <c r="A67" s="0" t="s">
        <v>123</v>
      </c>
      <c r="B67" s="8" t="n">
        <v>85</v>
      </c>
      <c r="C67" s="13" t="n">
        <v>5</v>
      </c>
      <c r="D67" s="9" t="s">
        <v>124</v>
      </c>
    </row>
    <row r="68" customFormat="false" ht="15" hidden="false" customHeight="false" outlineLevel="0" collapsed="false">
      <c r="A68" s="0" t="s">
        <v>125</v>
      </c>
      <c r="B68" s="8" t="n">
        <v>125</v>
      </c>
      <c r="C68" s="13" t="n">
        <v>7</v>
      </c>
      <c r="D68" s="9" t="s">
        <v>126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9" min="18" style="0" width="11"/>
    <col collapsed="false" customWidth="true" hidden="false" outlineLevel="0" max="22" min="20" style="0" width="9"/>
    <col collapsed="false" customWidth="true" hidden="false" outlineLevel="0" max="23" min="23" style="0" width="11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18" t="s">
        <v>127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133</v>
      </c>
      <c r="G2" s="5" t="s">
        <v>134</v>
      </c>
      <c r="H2" s="5" t="s">
        <v>135</v>
      </c>
      <c r="I2" s="5" t="s">
        <v>136</v>
      </c>
      <c r="J2" s="5" t="s">
        <v>137</v>
      </c>
      <c r="K2" s="5" t="s">
        <v>138</v>
      </c>
      <c r="L2" s="5" t="s">
        <v>139</v>
      </c>
      <c r="M2" s="5" t="s">
        <v>140</v>
      </c>
      <c r="N2" s="5" t="s">
        <v>141</v>
      </c>
      <c r="O2" s="5" t="s">
        <v>142</v>
      </c>
      <c r="P2" s="5" t="s">
        <v>143</v>
      </c>
      <c r="Q2" s="5" t="s">
        <v>144</v>
      </c>
      <c r="R2" s="5" t="s">
        <v>145</v>
      </c>
      <c r="S2" s="5" t="s">
        <v>146</v>
      </c>
      <c r="T2" s="5" t="s">
        <v>147</v>
      </c>
      <c r="U2" s="5" t="s">
        <v>148</v>
      </c>
      <c r="V2" s="5" t="s">
        <v>149</v>
      </c>
      <c r="W2" s="5" t="s">
        <v>150</v>
      </c>
      <c r="X2" s="5" t="s">
        <v>151</v>
      </c>
    </row>
    <row r="3" customFormat="false" ht="15" hidden="false" customHeight="false" outlineLevel="0" collapsed="false">
      <c r="A3" s="16" t="s">
        <v>152</v>
      </c>
      <c r="B3" s="11" t="s">
        <v>153</v>
      </c>
      <c r="C3" s="16" t="n">
        <v>19125</v>
      </c>
      <c r="D3" s="8" t="n">
        <v>27200</v>
      </c>
      <c r="E3" s="8" t="n">
        <v>329601</v>
      </c>
      <c r="F3" s="11" t="s">
        <v>154</v>
      </c>
      <c r="G3" s="19" t="n">
        <v>1728</v>
      </c>
      <c r="H3" s="19" t="n">
        <v>1113</v>
      </c>
      <c r="I3" s="16" t="n">
        <v>1925</v>
      </c>
      <c r="J3" s="16" t="n">
        <v>1</v>
      </c>
      <c r="K3" s="8" t="n">
        <v>409100</v>
      </c>
      <c r="L3" s="8" t="n">
        <v>452000</v>
      </c>
      <c r="M3" s="8" t="n">
        <v>695000</v>
      </c>
      <c r="N3" s="8" t="n">
        <v>2750</v>
      </c>
      <c r="O3" s="11" t="s">
        <v>121</v>
      </c>
      <c r="P3" s="8" t="n">
        <v>0</v>
      </c>
      <c r="Q3" s="11" t="s">
        <v>155</v>
      </c>
      <c r="R3" s="8" t="n">
        <v>2500</v>
      </c>
      <c r="S3" s="8"/>
      <c r="T3" s="8"/>
      <c r="U3" s="16"/>
      <c r="V3" s="19"/>
      <c r="W3" s="8"/>
      <c r="X3" s="11" t="s">
        <v>156</v>
      </c>
    </row>
    <row r="4" customFormat="false" ht="15" hidden="false" customHeight="false" outlineLevel="0" collapsed="false">
      <c r="A4" s="16" t="s">
        <v>157</v>
      </c>
      <c r="B4" s="11" t="s">
        <v>158</v>
      </c>
      <c r="C4" s="16" t="n">
        <v>19125</v>
      </c>
      <c r="D4" s="8" t="n">
        <v>27200</v>
      </c>
      <c r="E4" s="8" t="n">
        <v>329601</v>
      </c>
      <c r="F4" s="11" t="s">
        <v>154</v>
      </c>
      <c r="G4" s="19" t="n">
        <v>1728</v>
      </c>
      <c r="H4" s="19" t="n">
        <v>1113</v>
      </c>
      <c r="I4" s="16" t="n">
        <v>1925</v>
      </c>
      <c r="J4" s="16" t="n">
        <v>1</v>
      </c>
      <c r="K4" s="8" t="n">
        <v>409100</v>
      </c>
      <c r="L4" s="8" t="n">
        <v>380000</v>
      </c>
      <c r="M4" s="8" t="n">
        <v>675000</v>
      </c>
      <c r="N4" s="8" t="n">
        <v>3200</v>
      </c>
      <c r="O4" s="11" t="s">
        <v>123</v>
      </c>
      <c r="P4" s="8" t="n">
        <v>0</v>
      </c>
      <c r="Q4" s="11" t="s">
        <v>159</v>
      </c>
      <c r="R4" s="8" t="n">
        <v>2500</v>
      </c>
      <c r="S4" s="8"/>
      <c r="T4" s="8"/>
      <c r="U4" s="16"/>
      <c r="V4" s="19"/>
      <c r="W4" s="8"/>
      <c r="X4" s="11" t="s">
        <v>156</v>
      </c>
    </row>
    <row r="5" customFormat="false" ht="15" hidden="false" customHeight="false" outlineLevel="0" collapsed="false">
      <c r="A5" s="16" t="s">
        <v>160</v>
      </c>
      <c r="B5" s="11" t="s">
        <v>161</v>
      </c>
      <c r="C5" s="16" t="n">
        <v>19125</v>
      </c>
      <c r="D5" s="8" t="n">
        <v>27200</v>
      </c>
      <c r="E5" s="8" t="n">
        <v>329601</v>
      </c>
      <c r="F5" s="11" t="s">
        <v>154</v>
      </c>
      <c r="G5" s="19" t="n">
        <v>1728</v>
      </c>
      <c r="H5" s="19" t="n">
        <v>1113</v>
      </c>
      <c r="I5" s="16" t="n">
        <v>1925</v>
      </c>
      <c r="J5" s="16" t="n">
        <v>1</v>
      </c>
      <c r="K5" s="8" t="n">
        <v>409100</v>
      </c>
      <c r="L5" s="8" t="n">
        <v>380000</v>
      </c>
      <c r="M5" s="8" t="n">
        <v>675000</v>
      </c>
      <c r="N5" s="8" t="n">
        <v>3200</v>
      </c>
      <c r="O5" s="11" t="s">
        <v>123</v>
      </c>
      <c r="P5" s="8" t="n">
        <v>0</v>
      </c>
      <c r="Q5" s="11" t="s">
        <v>155</v>
      </c>
      <c r="R5" s="8" t="n">
        <v>2500</v>
      </c>
      <c r="S5" s="8"/>
      <c r="T5" s="8"/>
      <c r="U5" s="16"/>
      <c r="V5" s="19"/>
      <c r="W5" s="8"/>
      <c r="X5" s="11" t="s">
        <v>156</v>
      </c>
    </row>
    <row r="6" customFormat="false" ht="15" hidden="false" customHeight="false" outlineLevel="0" collapsed="false">
      <c r="A6" s="16" t="s">
        <v>162</v>
      </c>
      <c r="B6" s="11" t="s">
        <v>163</v>
      </c>
      <c r="C6" s="16" t="n">
        <v>19125</v>
      </c>
      <c r="D6" s="8" t="n">
        <v>27200</v>
      </c>
      <c r="E6" s="8" t="n">
        <v>329601</v>
      </c>
      <c r="F6" s="11" t="s">
        <v>154</v>
      </c>
      <c r="G6" s="19" t="n">
        <v>1728</v>
      </c>
      <c r="H6" s="19" t="n">
        <v>1113</v>
      </c>
      <c r="I6" s="16" t="n">
        <v>1925</v>
      </c>
      <c r="J6" s="16" t="n">
        <v>1</v>
      </c>
      <c r="K6" s="8" t="n">
        <v>409100</v>
      </c>
      <c r="L6" s="8" t="n">
        <v>350000</v>
      </c>
      <c r="M6" s="8" t="n">
        <v>640000</v>
      </c>
      <c r="N6" s="8" t="n">
        <v>3000</v>
      </c>
      <c r="O6" s="11" t="s">
        <v>125</v>
      </c>
      <c r="P6" s="8" t="n">
        <v>0</v>
      </c>
      <c r="Q6" s="11" t="s">
        <v>159</v>
      </c>
      <c r="R6" s="8" t="n">
        <v>2500</v>
      </c>
      <c r="S6" s="8"/>
      <c r="T6" s="8"/>
      <c r="U6" s="16"/>
      <c r="V6" s="19"/>
      <c r="W6" s="8"/>
      <c r="X6" s="11" t="s">
        <v>156</v>
      </c>
    </row>
    <row r="7" customFormat="false" ht="15" hidden="false" customHeight="false" outlineLevel="0" collapsed="false">
      <c r="A7" s="16" t="s">
        <v>164</v>
      </c>
      <c r="B7" s="11" t="s">
        <v>165</v>
      </c>
      <c r="C7" s="16" t="n">
        <v>19125</v>
      </c>
      <c r="D7" s="8" t="n">
        <v>27200</v>
      </c>
      <c r="E7" s="8" t="n">
        <v>329601</v>
      </c>
      <c r="F7" s="11" t="s">
        <v>154</v>
      </c>
      <c r="G7" s="19" t="n">
        <v>1728</v>
      </c>
      <c r="H7" s="19" t="n">
        <v>1113</v>
      </c>
      <c r="I7" s="16" t="n">
        <v>1925</v>
      </c>
      <c r="J7" s="16" t="n">
        <v>1</v>
      </c>
      <c r="K7" s="8" t="n">
        <v>409100</v>
      </c>
      <c r="L7" s="8" t="n">
        <v>400000</v>
      </c>
      <c r="M7" s="8" t="n">
        <v>710000</v>
      </c>
      <c r="N7" s="8" t="n">
        <v>3400</v>
      </c>
      <c r="O7" s="11" t="s">
        <v>123</v>
      </c>
      <c r="P7" s="8" t="n">
        <v>0</v>
      </c>
      <c r="Q7" s="11" t="s">
        <v>159</v>
      </c>
      <c r="R7" s="8" t="n">
        <v>2500</v>
      </c>
      <c r="S7" s="8"/>
      <c r="T7" s="8"/>
      <c r="U7" s="16"/>
      <c r="V7" s="19"/>
      <c r="W7" s="8"/>
      <c r="X7" s="11" t="s">
        <v>156</v>
      </c>
    </row>
    <row r="8" customFormat="false" ht="15" hidden="false" customHeight="false" outlineLevel="0" collapsed="false">
      <c r="A8" s="16" t="s">
        <v>166</v>
      </c>
      <c r="B8" s="11" t="s">
        <v>167</v>
      </c>
      <c r="C8" s="16" t="n">
        <v>19125</v>
      </c>
      <c r="D8" s="8" t="n">
        <v>27200</v>
      </c>
      <c r="E8" s="8" t="n">
        <v>329601</v>
      </c>
      <c r="F8" s="11" t="s">
        <v>168</v>
      </c>
      <c r="G8" s="19" t="n">
        <v>1728</v>
      </c>
      <c r="H8" s="19" t="n">
        <v>1113</v>
      </c>
      <c r="I8" s="16" t="n">
        <v>1925</v>
      </c>
      <c r="J8" s="16" t="n">
        <v>1</v>
      </c>
      <c r="K8" s="8" t="n">
        <v>409100</v>
      </c>
      <c r="L8" s="8" t="n">
        <v>380000</v>
      </c>
      <c r="M8" s="8" t="n">
        <v>675000</v>
      </c>
      <c r="N8" s="8" t="n">
        <v>3200</v>
      </c>
      <c r="O8" s="11" t="s">
        <v>123</v>
      </c>
      <c r="P8" s="8" t="n">
        <v>0</v>
      </c>
      <c r="Q8" s="11" t="s">
        <v>159</v>
      </c>
      <c r="R8" s="8" t="n">
        <v>302500</v>
      </c>
      <c r="S8" s="8"/>
      <c r="T8" s="8"/>
      <c r="U8" s="16"/>
      <c r="V8" s="19"/>
      <c r="W8" s="8"/>
      <c r="X8" s="11" t="s">
        <v>156</v>
      </c>
    </row>
    <row r="9" customFormat="false" ht="15" hidden="false" customHeight="false" outlineLevel="0" collapsed="false">
      <c r="A9" s="16"/>
      <c r="B9" s="11"/>
      <c r="C9" s="16"/>
      <c r="D9" s="8"/>
      <c r="E9" s="8"/>
      <c r="F9" s="11"/>
      <c r="G9" s="19"/>
      <c r="H9" s="19"/>
      <c r="I9" s="16"/>
      <c r="J9" s="16"/>
      <c r="K9" s="8"/>
      <c r="L9" s="8"/>
      <c r="M9" s="8"/>
      <c r="N9" s="8"/>
      <c r="O9" s="11"/>
      <c r="P9" s="8"/>
      <c r="Q9" s="11"/>
      <c r="R9" s="8"/>
      <c r="S9" s="8"/>
      <c r="T9" s="8"/>
      <c r="U9" s="16"/>
      <c r="V9" s="19"/>
      <c r="W9" s="8"/>
      <c r="X9" s="11"/>
    </row>
    <row r="10" customFormat="false" ht="15" hidden="false" customHeight="false" outlineLevel="0" collapsed="false">
      <c r="A10" s="16"/>
      <c r="B10" s="11"/>
      <c r="C10" s="16"/>
      <c r="D10" s="8"/>
      <c r="E10" s="8"/>
      <c r="F10" s="11"/>
      <c r="G10" s="19"/>
      <c r="H10" s="19"/>
      <c r="I10" s="16"/>
      <c r="J10" s="16"/>
      <c r="K10" s="8"/>
      <c r="L10" s="8"/>
      <c r="M10" s="8"/>
      <c r="N10" s="8"/>
      <c r="O10" s="11"/>
      <c r="P10" s="8"/>
      <c r="Q10" s="11"/>
      <c r="R10" s="8"/>
      <c r="S10" s="8"/>
      <c r="T10" s="8"/>
      <c r="U10" s="16"/>
      <c r="V10" s="19"/>
      <c r="W10" s="8"/>
      <c r="X10" s="11"/>
    </row>
    <row r="11" customFormat="false" ht="15" hidden="false" customHeight="false" outlineLevel="0" collapsed="false">
      <c r="A11" s="16"/>
      <c r="B11" s="11"/>
      <c r="C11" s="16"/>
      <c r="D11" s="8"/>
      <c r="E11" s="8"/>
      <c r="F11" s="11"/>
      <c r="G11" s="19"/>
      <c r="H11" s="19"/>
      <c r="I11" s="16"/>
      <c r="J11" s="16"/>
      <c r="K11" s="8"/>
      <c r="L11" s="8"/>
      <c r="M11" s="8"/>
      <c r="N11" s="8"/>
      <c r="O11" s="11"/>
      <c r="P11" s="8"/>
      <c r="Q11" s="11"/>
      <c r="R11" s="8"/>
      <c r="S11" s="8"/>
      <c r="T11" s="8"/>
      <c r="U11" s="16"/>
      <c r="V11" s="19"/>
      <c r="W11" s="8"/>
      <c r="X11" s="11"/>
    </row>
    <row r="12" customFormat="false" ht="15" hidden="false" customHeight="false" outlineLevel="0" collapsed="false">
      <c r="A12" s="16"/>
      <c r="B12" s="11"/>
      <c r="C12" s="16"/>
      <c r="D12" s="8"/>
      <c r="E12" s="8"/>
      <c r="F12" s="11"/>
      <c r="G12" s="19"/>
      <c r="H12" s="19"/>
      <c r="I12" s="16"/>
      <c r="J12" s="16"/>
      <c r="K12" s="8"/>
      <c r="L12" s="8"/>
      <c r="M12" s="8"/>
      <c r="N12" s="8"/>
      <c r="O12" s="11"/>
      <c r="P12" s="8"/>
      <c r="Q12" s="11"/>
      <c r="R12" s="8"/>
      <c r="S12" s="8"/>
      <c r="T12" s="8"/>
      <c r="U12" s="16"/>
      <c r="V12" s="19"/>
      <c r="W12" s="8"/>
      <c r="X12" s="11"/>
    </row>
    <row r="13" customFormat="false" ht="15" hidden="false" customHeight="false" outlineLevel="0" collapsed="false">
      <c r="A13" s="16"/>
      <c r="B13" s="11"/>
      <c r="C13" s="16"/>
      <c r="D13" s="8"/>
      <c r="E13" s="8"/>
      <c r="F13" s="11"/>
      <c r="G13" s="19"/>
      <c r="H13" s="19"/>
      <c r="I13" s="16"/>
      <c r="J13" s="16"/>
      <c r="K13" s="8"/>
      <c r="L13" s="8"/>
      <c r="M13" s="8"/>
      <c r="N13" s="8"/>
      <c r="O13" s="11"/>
      <c r="P13" s="8"/>
      <c r="Q13" s="11"/>
      <c r="R13" s="8"/>
      <c r="S13" s="8"/>
      <c r="T13" s="8"/>
      <c r="U13" s="16"/>
      <c r="V13" s="19"/>
      <c r="W13" s="8"/>
      <c r="X13" s="11"/>
    </row>
    <row r="14" customFormat="false" ht="15" hidden="false" customHeight="false" outlineLevel="0" collapsed="false">
      <c r="A14" s="16"/>
      <c r="B14" s="11"/>
      <c r="C14" s="16"/>
      <c r="D14" s="8"/>
      <c r="E14" s="8"/>
      <c r="F14" s="11"/>
      <c r="G14" s="19"/>
      <c r="H14" s="19"/>
      <c r="I14" s="16"/>
      <c r="J14" s="16"/>
      <c r="K14" s="8"/>
      <c r="L14" s="8"/>
      <c r="M14" s="8"/>
      <c r="N14" s="8"/>
      <c r="O14" s="11"/>
      <c r="P14" s="8"/>
      <c r="Q14" s="11"/>
      <c r="R14" s="8"/>
      <c r="S14" s="8"/>
      <c r="T14" s="8"/>
      <c r="U14" s="16"/>
      <c r="V14" s="19"/>
      <c r="W14" s="8"/>
      <c r="X14" s="11"/>
    </row>
    <row r="15" customFormat="false" ht="15" hidden="false" customHeight="false" outlineLevel="0" collapsed="false">
      <c r="A15" s="16"/>
      <c r="B15" s="11"/>
      <c r="C15" s="16"/>
      <c r="D15" s="8"/>
      <c r="E15" s="8"/>
      <c r="F15" s="11"/>
      <c r="G15" s="19"/>
      <c r="H15" s="19"/>
      <c r="I15" s="16"/>
      <c r="J15" s="16"/>
      <c r="K15" s="8"/>
      <c r="L15" s="8"/>
      <c r="M15" s="8"/>
      <c r="N15" s="8"/>
      <c r="O15" s="11"/>
      <c r="P15" s="8"/>
      <c r="Q15" s="11"/>
      <c r="R15" s="8"/>
      <c r="S15" s="8"/>
      <c r="T15" s="8"/>
      <c r="U15" s="16"/>
      <c r="V15" s="19"/>
      <c r="W15" s="8"/>
      <c r="X15" s="11"/>
    </row>
    <row r="16" customFormat="false" ht="15" hidden="false" customHeight="false" outlineLevel="0" collapsed="false">
      <c r="A16" s="16"/>
      <c r="B16" s="11"/>
      <c r="C16" s="16"/>
      <c r="D16" s="8"/>
      <c r="E16" s="8"/>
      <c r="F16" s="11"/>
      <c r="G16" s="19"/>
      <c r="H16" s="19"/>
      <c r="I16" s="16"/>
      <c r="J16" s="16"/>
      <c r="K16" s="8"/>
      <c r="L16" s="8"/>
      <c r="M16" s="8"/>
      <c r="N16" s="8"/>
      <c r="O16" s="11"/>
      <c r="P16" s="8"/>
      <c r="Q16" s="11"/>
      <c r="R16" s="8"/>
      <c r="S16" s="8"/>
      <c r="T16" s="8"/>
      <c r="U16" s="16"/>
      <c r="V16" s="19"/>
      <c r="W16" s="8"/>
      <c r="X16" s="11"/>
    </row>
    <row r="17" customFormat="false" ht="15" hidden="false" customHeight="false" outlineLevel="0" collapsed="false">
      <c r="A17" s="16"/>
      <c r="B17" s="11"/>
      <c r="C17" s="16"/>
      <c r="D17" s="8"/>
      <c r="E17" s="8"/>
      <c r="F17" s="11"/>
      <c r="G17" s="19"/>
      <c r="H17" s="19"/>
      <c r="I17" s="16"/>
      <c r="J17" s="16"/>
      <c r="K17" s="8"/>
      <c r="L17" s="8"/>
      <c r="M17" s="8"/>
      <c r="N17" s="8"/>
      <c r="O17" s="11"/>
      <c r="P17" s="8"/>
      <c r="Q17" s="11"/>
      <c r="R17" s="8"/>
      <c r="S17" s="8"/>
      <c r="T17" s="8"/>
      <c r="U17" s="16"/>
      <c r="V17" s="19"/>
      <c r="W17" s="8"/>
      <c r="X17" s="11"/>
    </row>
    <row r="18" customFormat="false" ht="15" hidden="false" customHeight="false" outlineLevel="0" collapsed="false">
      <c r="A18" s="16"/>
      <c r="B18" s="11"/>
      <c r="C18" s="16"/>
      <c r="D18" s="8"/>
      <c r="E18" s="8"/>
      <c r="F18" s="11"/>
      <c r="G18" s="19"/>
      <c r="H18" s="19"/>
      <c r="I18" s="16"/>
      <c r="J18" s="16"/>
      <c r="K18" s="8"/>
      <c r="L18" s="8"/>
      <c r="M18" s="8"/>
      <c r="N18" s="8"/>
      <c r="O18" s="11"/>
      <c r="P18" s="8"/>
      <c r="Q18" s="11"/>
      <c r="R18" s="8"/>
      <c r="S18" s="8"/>
      <c r="T18" s="8"/>
      <c r="U18" s="16"/>
      <c r="V18" s="19"/>
      <c r="W18" s="8"/>
      <c r="X18" s="11"/>
    </row>
    <row r="19" customFormat="false" ht="15" hidden="false" customHeight="false" outlineLevel="0" collapsed="false">
      <c r="A19" s="16"/>
      <c r="B19" s="11"/>
      <c r="C19" s="16"/>
      <c r="D19" s="8"/>
      <c r="E19" s="8"/>
      <c r="F19" s="11"/>
      <c r="G19" s="19"/>
      <c r="H19" s="19"/>
      <c r="I19" s="16"/>
      <c r="J19" s="16"/>
      <c r="K19" s="8"/>
      <c r="L19" s="8"/>
      <c r="M19" s="8"/>
      <c r="N19" s="8"/>
      <c r="O19" s="11"/>
      <c r="P19" s="8"/>
      <c r="Q19" s="11"/>
      <c r="R19" s="8"/>
      <c r="S19" s="8"/>
      <c r="T19" s="8"/>
      <c r="U19" s="16"/>
      <c r="V19" s="19"/>
      <c r="W19" s="8"/>
      <c r="X19" s="11"/>
    </row>
    <row r="20" customFormat="false" ht="15" hidden="false" customHeight="false" outlineLevel="0" collapsed="false">
      <c r="A20" s="16"/>
      <c r="B20" s="11"/>
      <c r="C20" s="16"/>
      <c r="D20" s="8"/>
      <c r="E20" s="8"/>
      <c r="F20" s="11"/>
      <c r="G20" s="19"/>
      <c r="H20" s="19"/>
      <c r="I20" s="16"/>
      <c r="J20" s="16"/>
      <c r="K20" s="8"/>
      <c r="L20" s="8"/>
      <c r="M20" s="8"/>
      <c r="N20" s="8"/>
      <c r="O20" s="11"/>
      <c r="P20" s="8"/>
      <c r="Q20" s="11"/>
      <c r="R20" s="8"/>
      <c r="S20" s="8"/>
      <c r="T20" s="8"/>
      <c r="U20" s="16"/>
      <c r="V20" s="19"/>
      <c r="W20" s="8"/>
      <c r="X20" s="11"/>
    </row>
    <row r="21" customFormat="false" ht="15" hidden="false" customHeight="false" outlineLevel="0" collapsed="false">
      <c r="A21" s="16"/>
      <c r="B21" s="11"/>
      <c r="C21" s="16"/>
      <c r="D21" s="8"/>
      <c r="E21" s="8"/>
      <c r="F21" s="11"/>
      <c r="G21" s="19"/>
      <c r="H21" s="19"/>
      <c r="I21" s="16"/>
      <c r="J21" s="16"/>
      <c r="K21" s="8"/>
      <c r="L21" s="8"/>
      <c r="M21" s="8"/>
      <c r="N21" s="8"/>
      <c r="O21" s="11"/>
      <c r="P21" s="8"/>
      <c r="Q21" s="11"/>
      <c r="R21" s="8"/>
      <c r="S21" s="8"/>
      <c r="T21" s="8"/>
      <c r="U21" s="16"/>
      <c r="V21" s="19"/>
      <c r="W21" s="8"/>
      <c r="X21" s="11"/>
    </row>
    <row r="22" customFormat="false" ht="15" hidden="false" customHeight="false" outlineLevel="0" collapsed="false">
      <c r="A22" s="16"/>
      <c r="B22" s="11"/>
      <c r="C22" s="16"/>
      <c r="D22" s="8"/>
      <c r="E22" s="8"/>
      <c r="F22" s="11"/>
      <c r="G22" s="19"/>
      <c r="H22" s="19"/>
      <c r="I22" s="16"/>
      <c r="J22" s="16"/>
      <c r="K22" s="8"/>
      <c r="L22" s="8"/>
      <c r="M22" s="8"/>
      <c r="N22" s="8"/>
      <c r="O22" s="11"/>
      <c r="P22" s="8"/>
      <c r="Q22" s="11"/>
      <c r="R22" s="8"/>
      <c r="S22" s="8"/>
      <c r="T22" s="8"/>
      <c r="U22" s="16"/>
      <c r="V22" s="19"/>
      <c r="W22" s="8"/>
      <c r="X22" s="11"/>
    </row>
    <row r="23" customFormat="false" ht="15" hidden="false" customHeight="false" outlineLevel="0" collapsed="false">
      <c r="A23" s="16"/>
      <c r="B23" s="11"/>
      <c r="C23" s="16"/>
      <c r="D23" s="8"/>
      <c r="E23" s="8"/>
      <c r="F23" s="11"/>
      <c r="G23" s="19"/>
      <c r="H23" s="19"/>
      <c r="I23" s="16"/>
      <c r="J23" s="16"/>
      <c r="K23" s="8"/>
      <c r="L23" s="8"/>
      <c r="M23" s="8"/>
      <c r="N23" s="8"/>
      <c r="O23" s="11"/>
      <c r="P23" s="8"/>
      <c r="Q23" s="11"/>
      <c r="R23" s="8"/>
      <c r="S23" s="8"/>
      <c r="T23" s="8"/>
      <c r="U23" s="16"/>
      <c r="V23" s="19"/>
      <c r="W23" s="8"/>
      <c r="X23" s="11"/>
    </row>
    <row r="24" customFormat="false" ht="15" hidden="false" customHeight="false" outlineLevel="0" collapsed="false">
      <c r="A24" s="16"/>
      <c r="B24" s="11"/>
      <c r="C24" s="16"/>
      <c r="D24" s="8"/>
      <c r="E24" s="8"/>
      <c r="F24" s="11"/>
      <c r="G24" s="19"/>
      <c r="H24" s="19"/>
      <c r="I24" s="16"/>
      <c r="J24" s="16"/>
      <c r="K24" s="8"/>
      <c r="L24" s="8"/>
      <c r="M24" s="8"/>
      <c r="N24" s="8"/>
      <c r="O24" s="11"/>
      <c r="P24" s="8"/>
      <c r="Q24" s="11"/>
      <c r="R24" s="8"/>
      <c r="S24" s="8"/>
      <c r="T24" s="8"/>
      <c r="U24" s="16"/>
      <c r="V24" s="19"/>
      <c r="W24" s="8"/>
      <c r="X24" s="11"/>
    </row>
    <row r="25" customFormat="false" ht="15" hidden="false" customHeight="false" outlineLevel="0" collapsed="false">
      <c r="A25" s="16"/>
      <c r="B25" s="11"/>
      <c r="C25" s="16"/>
      <c r="D25" s="8"/>
      <c r="E25" s="8"/>
      <c r="F25" s="11"/>
      <c r="G25" s="19"/>
      <c r="H25" s="19"/>
      <c r="I25" s="16"/>
      <c r="J25" s="16"/>
      <c r="K25" s="8"/>
      <c r="L25" s="8"/>
      <c r="M25" s="8"/>
      <c r="N25" s="8"/>
      <c r="O25" s="11"/>
      <c r="P25" s="8"/>
      <c r="Q25" s="11"/>
      <c r="R25" s="8"/>
      <c r="S25" s="8"/>
      <c r="T25" s="8"/>
      <c r="U25" s="16"/>
      <c r="V25" s="19"/>
      <c r="W25" s="8"/>
      <c r="X25" s="11"/>
    </row>
    <row r="26" customFormat="false" ht="15" hidden="false" customHeight="false" outlineLevel="0" collapsed="false">
      <c r="A26" s="16"/>
      <c r="B26" s="11"/>
      <c r="C26" s="16"/>
      <c r="D26" s="8"/>
      <c r="E26" s="8"/>
      <c r="F26" s="11"/>
      <c r="G26" s="19"/>
      <c r="H26" s="19"/>
      <c r="I26" s="16"/>
      <c r="J26" s="16"/>
      <c r="K26" s="8"/>
      <c r="L26" s="8"/>
      <c r="M26" s="8"/>
      <c r="N26" s="8"/>
      <c r="O26" s="11"/>
      <c r="P26" s="8"/>
      <c r="Q26" s="11"/>
      <c r="R26" s="8"/>
      <c r="S26" s="8"/>
      <c r="T26" s="8"/>
      <c r="U26" s="16"/>
      <c r="V26" s="19"/>
      <c r="W26" s="8"/>
      <c r="X26" s="11"/>
    </row>
    <row r="27" customFormat="false" ht="15" hidden="false" customHeight="false" outlineLevel="0" collapsed="false">
      <c r="A27" s="16"/>
      <c r="B27" s="11"/>
      <c r="C27" s="16"/>
      <c r="D27" s="8"/>
      <c r="E27" s="8"/>
      <c r="F27" s="11"/>
      <c r="G27" s="19"/>
      <c r="H27" s="19"/>
      <c r="I27" s="16"/>
      <c r="J27" s="16"/>
      <c r="K27" s="8"/>
      <c r="L27" s="8"/>
      <c r="M27" s="8"/>
      <c r="N27" s="8"/>
      <c r="O27" s="11"/>
      <c r="P27" s="8"/>
      <c r="Q27" s="11"/>
      <c r="R27" s="8"/>
      <c r="S27" s="8"/>
      <c r="T27" s="8"/>
      <c r="U27" s="16"/>
      <c r="V27" s="19"/>
      <c r="W27" s="8"/>
      <c r="X27" s="11"/>
    </row>
    <row r="28" customFormat="false" ht="15" hidden="false" customHeight="false" outlineLevel="0" collapsed="false">
      <c r="A28" s="16"/>
      <c r="B28" s="11"/>
      <c r="C28" s="16"/>
      <c r="D28" s="8"/>
      <c r="E28" s="8"/>
      <c r="F28" s="11"/>
      <c r="G28" s="19"/>
      <c r="H28" s="19"/>
      <c r="I28" s="16"/>
      <c r="J28" s="16"/>
      <c r="K28" s="8"/>
      <c r="L28" s="8"/>
      <c r="M28" s="8"/>
      <c r="N28" s="8"/>
      <c r="O28" s="11"/>
      <c r="P28" s="8"/>
      <c r="Q28" s="11"/>
      <c r="R28" s="8"/>
      <c r="S28" s="8"/>
      <c r="T28" s="8"/>
      <c r="U28" s="16"/>
      <c r="V28" s="19"/>
      <c r="W28" s="8"/>
      <c r="X28" s="11"/>
    </row>
    <row r="29" customFormat="false" ht="15" hidden="false" customHeight="false" outlineLevel="0" collapsed="false">
      <c r="A29" s="16"/>
      <c r="B29" s="11"/>
      <c r="C29" s="16"/>
      <c r="D29" s="8"/>
      <c r="E29" s="8"/>
      <c r="F29" s="11"/>
      <c r="G29" s="19"/>
      <c r="H29" s="19"/>
      <c r="I29" s="16"/>
      <c r="J29" s="16"/>
      <c r="K29" s="8"/>
      <c r="L29" s="8"/>
      <c r="M29" s="8"/>
      <c r="N29" s="8"/>
      <c r="O29" s="11"/>
      <c r="P29" s="8"/>
      <c r="Q29" s="11"/>
      <c r="R29" s="8"/>
      <c r="S29" s="8"/>
      <c r="T29" s="8"/>
      <c r="U29" s="16"/>
      <c r="V29" s="19"/>
      <c r="W29" s="8"/>
      <c r="X29" s="11"/>
    </row>
    <row r="30" customFormat="false" ht="15" hidden="false" customHeight="false" outlineLevel="0" collapsed="false">
      <c r="A30" s="16"/>
      <c r="B30" s="11"/>
      <c r="C30" s="16"/>
      <c r="D30" s="8"/>
      <c r="E30" s="8"/>
      <c r="F30" s="11"/>
      <c r="G30" s="19"/>
      <c r="H30" s="19"/>
      <c r="I30" s="16"/>
      <c r="J30" s="16"/>
      <c r="K30" s="8"/>
      <c r="L30" s="8"/>
      <c r="M30" s="8"/>
      <c r="N30" s="8"/>
      <c r="O30" s="11"/>
      <c r="P30" s="8"/>
      <c r="Q30" s="11"/>
      <c r="R30" s="8"/>
      <c r="S30" s="8"/>
      <c r="T30" s="8"/>
      <c r="U30" s="16"/>
      <c r="V30" s="19"/>
      <c r="W30" s="8"/>
      <c r="X30" s="11"/>
    </row>
    <row r="31" customFormat="false" ht="15" hidden="false" customHeight="false" outlineLevel="0" collapsed="false">
      <c r="A31" s="16"/>
      <c r="B31" s="11"/>
      <c r="C31" s="16"/>
      <c r="D31" s="8"/>
      <c r="E31" s="8"/>
      <c r="F31" s="11"/>
      <c r="G31" s="19"/>
      <c r="H31" s="19"/>
      <c r="I31" s="16"/>
      <c r="J31" s="16"/>
      <c r="K31" s="8"/>
      <c r="L31" s="8"/>
      <c r="M31" s="8"/>
      <c r="N31" s="8"/>
      <c r="O31" s="11"/>
      <c r="P31" s="8"/>
      <c r="Q31" s="11"/>
      <c r="R31" s="8"/>
      <c r="S31" s="8"/>
      <c r="T31" s="8"/>
      <c r="U31" s="16"/>
      <c r="V31" s="19"/>
      <c r="W31" s="8"/>
      <c r="X31" s="11"/>
    </row>
    <row r="32" customFormat="false" ht="15" hidden="false" customHeight="false" outlineLevel="0" collapsed="false">
      <c r="A32" s="16"/>
      <c r="B32" s="11"/>
      <c r="C32" s="16"/>
      <c r="D32" s="8"/>
      <c r="E32" s="8"/>
      <c r="F32" s="11"/>
      <c r="G32" s="19"/>
      <c r="H32" s="19"/>
      <c r="I32" s="16"/>
      <c r="J32" s="16"/>
      <c r="K32" s="8"/>
      <c r="L32" s="8"/>
      <c r="M32" s="8"/>
      <c r="N32" s="8"/>
      <c r="O32" s="11"/>
      <c r="P32" s="8"/>
      <c r="Q32" s="11"/>
      <c r="R32" s="8"/>
      <c r="S32" s="8"/>
      <c r="T32" s="8"/>
      <c r="U32" s="16"/>
      <c r="V32" s="19"/>
      <c r="W32" s="8"/>
      <c r="X32" s="11"/>
    </row>
    <row r="33" customFormat="false" ht="15" hidden="false" customHeight="false" outlineLevel="0" collapsed="false">
      <c r="A33" s="16"/>
      <c r="B33" s="11"/>
      <c r="C33" s="16"/>
      <c r="D33" s="8"/>
      <c r="E33" s="8"/>
      <c r="F33" s="11"/>
      <c r="G33" s="19"/>
      <c r="H33" s="19"/>
      <c r="I33" s="16"/>
      <c r="J33" s="16"/>
      <c r="K33" s="8"/>
      <c r="L33" s="8"/>
      <c r="M33" s="8"/>
      <c r="N33" s="8"/>
      <c r="O33" s="11"/>
      <c r="P33" s="8"/>
      <c r="Q33" s="11"/>
      <c r="R33" s="8"/>
      <c r="S33" s="8"/>
      <c r="T33" s="8"/>
      <c r="U33" s="16"/>
      <c r="V33" s="19"/>
      <c r="W33" s="8"/>
      <c r="X33" s="11"/>
    </row>
    <row r="34" customFormat="false" ht="15" hidden="false" customHeight="false" outlineLevel="0" collapsed="false">
      <c r="A34" s="16"/>
      <c r="B34" s="11"/>
      <c r="C34" s="16"/>
      <c r="D34" s="8"/>
      <c r="E34" s="8"/>
      <c r="F34" s="11"/>
      <c r="G34" s="19"/>
      <c r="H34" s="19"/>
      <c r="I34" s="16"/>
      <c r="J34" s="16"/>
      <c r="K34" s="8"/>
      <c r="L34" s="8"/>
      <c r="M34" s="8"/>
      <c r="N34" s="8"/>
      <c r="O34" s="11"/>
      <c r="P34" s="8"/>
      <c r="Q34" s="11"/>
      <c r="R34" s="8"/>
      <c r="S34" s="8"/>
      <c r="T34" s="8"/>
      <c r="U34" s="16"/>
      <c r="V34" s="19"/>
      <c r="W34" s="8"/>
      <c r="X34" s="11"/>
    </row>
    <row r="35" customFormat="false" ht="15" hidden="false" customHeight="false" outlineLevel="0" collapsed="false">
      <c r="A35" s="16"/>
      <c r="B35" s="11"/>
      <c r="C35" s="16"/>
      <c r="D35" s="8"/>
      <c r="E35" s="8"/>
      <c r="F35" s="11"/>
      <c r="G35" s="19"/>
      <c r="H35" s="19"/>
      <c r="I35" s="16"/>
      <c r="J35" s="16"/>
      <c r="K35" s="8"/>
      <c r="L35" s="8"/>
      <c r="M35" s="8"/>
      <c r="N35" s="8"/>
      <c r="O35" s="11"/>
      <c r="P35" s="8"/>
      <c r="Q35" s="11"/>
      <c r="R35" s="8"/>
      <c r="S35" s="8"/>
      <c r="T35" s="8"/>
      <c r="U35" s="16"/>
      <c r="V35" s="19"/>
      <c r="W35" s="8"/>
      <c r="X35" s="11"/>
    </row>
    <row r="36" customFormat="false" ht="15" hidden="false" customHeight="false" outlineLevel="0" collapsed="false">
      <c r="A36" s="16"/>
      <c r="B36" s="11"/>
      <c r="C36" s="16"/>
      <c r="D36" s="8"/>
      <c r="E36" s="8"/>
      <c r="F36" s="11"/>
      <c r="G36" s="19"/>
      <c r="H36" s="19"/>
      <c r="I36" s="16"/>
      <c r="J36" s="16"/>
      <c r="K36" s="8"/>
      <c r="L36" s="8"/>
      <c r="M36" s="8"/>
      <c r="N36" s="8"/>
      <c r="O36" s="11"/>
      <c r="P36" s="8"/>
      <c r="Q36" s="11"/>
      <c r="R36" s="8"/>
      <c r="S36" s="8"/>
      <c r="T36" s="8"/>
      <c r="U36" s="16"/>
      <c r="V36" s="19"/>
      <c r="W36" s="8"/>
      <c r="X36" s="11"/>
    </row>
    <row r="37" customFormat="false" ht="15" hidden="false" customHeight="false" outlineLevel="0" collapsed="false">
      <c r="A37" s="16"/>
      <c r="B37" s="11"/>
      <c r="C37" s="16"/>
      <c r="D37" s="8"/>
      <c r="E37" s="8"/>
      <c r="F37" s="11"/>
      <c r="G37" s="19"/>
      <c r="H37" s="19"/>
      <c r="I37" s="16"/>
      <c r="J37" s="16"/>
      <c r="K37" s="8"/>
      <c r="L37" s="8"/>
      <c r="M37" s="8"/>
      <c r="N37" s="8"/>
      <c r="O37" s="11"/>
      <c r="P37" s="8"/>
      <c r="Q37" s="11"/>
      <c r="R37" s="8"/>
      <c r="S37" s="8"/>
      <c r="T37" s="8"/>
      <c r="U37" s="16"/>
      <c r="V37" s="19"/>
      <c r="W37" s="8"/>
      <c r="X37" s="11"/>
    </row>
    <row r="38" customFormat="false" ht="15" hidden="false" customHeight="false" outlineLevel="0" collapsed="false">
      <c r="A38" s="16"/>
      <c r="B38" s="11"/>
      <c r="C38" s="16"/>
      <c r="D38" s="8"/>
      <c r="E38" s="8"/>
      <c r="F38" s="11"/>
      <c r="G38" s="19"/>
      <c r="H38" s="19"/>
      <c r="I38" s="16"/>
      <c r="J38" s="16"/>
      <c r="K38" s="8"/>
      <c r="L38" s="8"/>
      <c r="M38" s="8"/>
      <c r="N38" s="8"/>
      <c r="O38" s="11"/>
      <c r="P38" s="8"/>
      <c r="Q38" s="11"/>
      <c r="R38" s="8"/>
      <c r="S38" s="8"/>
      <c r="T38" s="8"/>
      <c r="U38" s="16"/>
      <c r="V38" s="19"/>
      <c r="W38" s="8"/>
      <c r="X38" s="11"/>
    </row>
    <row r="39" customFormat="false" ht="15" hidden="false" customHeight="false" outlineLevel="0" collapsed="false">
      <c r="A39" s="16"/>
      <c r="B39" s="11"/>
      <c r="C39" s="16"/>
      <c r="D39" s="8"/>
      <c r="E39" s="8"/>
      <c r="F39" s="11"/>
      <c r="G39" s="19"/>
      <c r="H39" s="19"/>
      <c r="I39" s="16"/>
      <c r="J39" s="16"/>
      <c r="K39" s="8"/>
      <c r="L39" s="8"/>
      <c r="M39" s="8"/>
      <c r="N39" s="8"/>
      <c r="O39" s="11"/>
      <c r="P39" s="8"/>
      <c r="Q39" s="11"/>
      <c r="R39" s="8"/>
      <c r="S39" s="8"/>
      <c r="T39" s="8"/>
      <c r="U39" s="16"/>
      <c r="V39" s="19"/>
      <c r="W39" s="8"/>
      <c r="X39" s="11"/>
    </row>
    <row r="40" customFormat="false" ht="15" hidden="false" customHeight="false" outlineLevel="0" collapsed="false">
      <c r="A40" s="16"/>
      <c r="B40" s="11"/>
      <c r="C40" s="16"/>
      <c r="D40" s="8"/>
      <c r="E40" s="8"/>
      <c r="F40" s="11"/>
      <c r="G40" s="19"/>
      <c r="H40" s="19"/>
      <c r="I40" s="16"/>
      <c r="J40" s="16"/>
      <c r="K40" s="8"/>
      <c r="L40" s="8"/>
      <c r="M40" s="8"/>
      <c r="N40" s="8"/>
      <c r="O40" s="11"/>
      <c r="P40" s="8"/>
      <c r="Q40" s="11"/>
      <c r="R40" s="8"/>
      <c r="S40" s="8"/>
      <c r="T40" s="8"/>
      <c r="U40" s="16"/>
      <c r="V40" s="19"/>
      <c r="W40" s="8"/>
      <c r="X40" s="11"/>
    </row>
    <row r="41" customFormat="false" ht="15" hidden="false" customHeight="false" outlineLevel="0" collapsed="false">
      <c r="A41" s="16"/>
      <c r="B41" s="11"/>
      <c r="C41" s="16"/>
      <c r="D41" s="8"/>
      <c r="E41" s="8"/>
      <c r="F41" s="11"/>
      <c r="G41" s="19"/>
      <c r="H41" s="19"/>
      <c r="I41" s="16"/>
      <c r="J41" s="16"/>
      <c r="K41" s="8"/>
      <c r="L41" s="8"/>
      <c r="M41" s="8"/>
      <c r="N41" s="8"/>
      <c r="O41" s="11"/>
      <c r="P41" s="8"/>
      <c r="Q41" s="11"/>
      <c r="R41" s="8"/>
      <c r="S41" s="8"/>
      <c r="T41" s="8"/>
      <c r="U41" s="16"/>
      <c r="V41" s="19"/>
      <c r="W41" s="8"/>
      <c r="X41" s="11"/>
    </row>
    <row r="42" customFormat="false" ht="15" hidden="false" customHeight="false" outlineLevel="0" collapsed="false">
      <c r="A42" s="16"/>
      <c r="B42" s="11"/>
      <c r="C42" s="16"/>
      <c r="D42" s="8"/>
      <c r="E42" s="8"/>
      <c r="F42" s="11"/>
      <c r="G42" s="19"/>
      <c r="H42" s="19"/>
      <c r="I42" s="16"/>
      <c r="J42" s="16"/>
      <c r="K42" s="8"/>
      <c r="L42" s="8"/>
      <c r="M42" s="8"/>
      <c r="N42" s="8"/>
      <c r="O42" s="11"/>
      <c r="P42" s="8"/>
      <c r="Q42" s="11"/>
      <c r="R42" s="8"/>
      <c r="S42" s="8"/>
      <c r="T42" s="8"/>
      <c r="U42" s="16"/>
      <c r="V42" s="19"/>
      <c r="W42" s="8"/>
      <c r="X42" s="11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45"/>
    <col collapsed="false" customWidth="true" hidden="false" outlineLevel="0" max="40" min="11" style="0" width="13"/>
  </cols>
  <sheetData>
    <row r="1" customFormat="false" ht="15" hidden="false" customHeight="false" outlineLevel="0" collapsed="false">
      <c r="A1" s="6" t="s">
        <v>169</v>
      </c>
      <c r="B1" s="7"/>
      <c r="C1" s="20" t="s">
        <v>170</v>
      </c>
      <c r="D1" s="21"/>
      <c r="E1" s="21"/>
      <c r="F1" s="21"/>
      <c r="G1" s="21"/>
      <c r="H1" s="21"/>
      <c r="I1" s="21"/>
      <c r="J1" s="21"/>
      <c r="K1" s="6" t="s">
        <v>171</v>
      </c>
      <c r="L1" s="7"/>
      <c r="M1" s="7"/>
      <c r="N1" s="7"/>
      <c r="O1" s="6" t="s">
        <v>172</v>
      </c>
      <c r="P1" s="7"/>
      <c r="Q1" s="7"/>
      <c r="R1" s="6" t="s">
        <v>173</v>
      </c>
      <c r="S1" s="7"/>
      <c r="T1" s="7"/>
      <c r="U1" s="7"/>
      <c r="V1" s="7"/>
      <c r="W1" s="7"/>
      <c r="X1" s="7"/>
      <c r="Y1" s="7"/>
      <c r="Z1" s="6" t="s">
        <v>174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6" t="s">
        <v>175</v>
      </c>
      <c r="AL1" s="6" t="s">
        <v>176</v>
      </c>
      <c r="AM1" s="7"/>
      <c r="AN1" s="7"/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177</v>
      </c>
      <c r="D2" s="5" t="s">
        <v>178</v>
      </c>
      <c r="E2" s="5" t="s">
        <v>179</v>
      </c>
      <c r="F2" s="5" t="s">
        <v>180</v>
      </c>
      <c r="G2" s="5" t="s">
        <v>181</v>
      </c>
      <c r="H2" s="5" t="s">
        <v>182</v>
      </c>
      <c r="I2" s="5" t="s">
        <v>183</v>
      </c>
      <c r="J2" s="5" t="s">
        <v>184</v>
      </c>
      <c r="K2" s="5" t="s">
        <v>185</v>
      </c>
      <c r="L2" s="5" t="s">
        <v>186</v>
      </c>
      <c r="M2" s="5" t="s">
        <v>187</v>
      </c>
      <c r="N2" s="5" t="s">
        <v>188</v>
      </c>
      <c r="O2" s="5" t="s">
        <v>189</v>
      </c>
      <c r="P2" s="5" t="s">
        <v>190</v>
      </c>
      <c r="Q2" s="5" t="s">
        <v>191</v>
      </c>
      <c r="R2" s="5" t="s">
        <v>192</v>
      </c>
      <c r="S2" s="5" t="s">
        <v>193</v>
      </c>
      <c r="T2" s="5" t="s">
        <v>194</v>
      </c>
      <c r="U2" s="5" t="s">
        <v>195</v>
      </c>
      <c r="V2" s="5" t="s">
        <v>196</v>
      </c>
      <c r="W2" s="5" t="s">
        <v>197</v>
      </c>
      <c r="X2" s="5" t="s">
        <v>198</v>
      </c>
      <c r="Y2" s="5" t="s">
        <v>199</v>
      </c>
      <c r="Z2" s="5" t="s">
        <v>200</v>
      </c>
      <c r="AA2" s="5" t="s">
        <v>201</v>
      </c>
      <c r="AB2" s="5" t="s">
        <v>202</v>
      </c>
      <c r="AC2" s="5" t="s">
        <v>203</v>
      </c>
      <c r="AD2" s="5" t="s">
        <v>204</v>
      </c>
      <c r="AE2" s="5" t="s">
        <v>205</v>
      </c>
      <c r="AF2" s="5" t="s">
        <v>206</v>
      </c>
      <c r="AG2" s="5" t="s">
        <v>207</v>
      </c>
      <c r="AH2" s="5" t="s">
        <v>208</v>
      </c>
      <c r="AI2" s="5" t="s">
        <v>209</v>
      </c>
      <c r="AJ2" s="5" t="s">
        <v>210</v>
      </c>
      <c r="AK2" s="5" t="s">
        <v>211</v>
      </c>
      <c r="AL2" s="5" t="s">
        <v>212</v>
      </c>
      <c r="AM2" s="5" t="s">
        <v>213</v>
      </c>
      <c r="AN2" s="5" t="s">
        <v>214</v>
      </c>
    </row>
    <row r="3" customFormat="false" ht="28.35" hidden="false" customHeight="false" outlineLevel="0" collapsed="false">
      <c r="A3" s="22" t="str">
        <f aca="false">IF(Deals!A3="","",Deals!A3)</f>
        <v>1311511-0</v>
      </c>
      <c r="B3" s="0" t="str">
        <f aca="false">IF(A3="","",Deals!B3)</f>
        <v>0 Prior screen (ARV 695k, Medium, occupied)</v>
      </c>
      <c r="C3" s="21" t="str">
        <f aca="false">IF(A3="","",IF(MAX(V3,AF3)&lt;=0,"Pass",IF(V3&gt;=AF3,"Flip","Value-add hold")))</f>
        <v>Flip</v>
      </c>
      <c r="D3" s="23" t="n">
        <f aca="false">IF(A3="","",MAX(V3,AF3))</f>
        <v>327876.171119135</v>
      </c>
      <c r="E3" s="24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$300,676 over opening bid</v>
      </c>
      <c r="F3" s="23" t="n">
        <f aca="false">IF(A3="","",IF(C3="Flip",W3,IF(C3="Value-add hold",AG3,0)))</f>
        <v>489663.262135922</v>
      </c>
      <c r="G3" s="24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$140,778 profit, 15%/yr over 23 mo</v>
      </c>
      <c r="H3" s="21" t="str">
        <f aca="false">IF(A3="","",IF(C3="Flip",IF(W3&lt;=FlipCeiling,"In $300k flip box","Over flip ceiling: needs to be exceptional"),IF(C3="Value-add hold","Value-add","")))</f>
        <v>Over flip ceiling: needs to be exceptional</v>
      </c>
      <c r="I3" s="24" t="str">
        <f aca="false">IF(A3="","",TRIM(IF(AK3&gt;D3,"Wholesale assignment supports "&amp;TEXT(AK3,"$#,##0")&amp;". ","")&amp;IF(AND(ISNUMBER(AN3),N(AN3)&gt;D3),"Teardown/new units supports "&amp;TEXT(AN3,"$#,##0")&amp;".","")))</f>
        <v>Wholesale assignment supports $349,086.</v>
      </c>
      <c r="J3" s="24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+5 mo and possession cost.</v>
      </c>
      <c r="K3" s="22" t="n">
        <f aca="false">IF(A3="","",IF(OR(Deals!Q3="Occupied",AND(Deals!Q3&lt;&gt;"Vacant",UnknownAsOccupied="Y")),1,0))</f>
        <v>1</v>
      </c>
      <c r="L3" s="25" t="n">
        <f aca="false">IF(A3="","",IFERROR(INDEX(ScopeMonths,MATCH(Deals!O3,ScopeNames,0)),INDEX(ScopeMonths,3)))</f>
        <v>3</v>
      </c>
      <c r="M3" s="25" t="n">
        <f aca="false">IF(A3="","",DeedMonths+K3*EjectMonths+L3+SellMonths)</f>
        <v>23</v>
      </c>
      <c r="N3" s="25" t="n">
        <f aca="false">IF(A3="","",DeedMonths+K3*EjectMonths+L3+LeaseUpMonths)</f>
        <v>22</v>
      </c>
      <c r="O3" s="26" t="n">
        <f aca="false">IF(A3="","",N(Deals!G3)*IFERROR(INDEX(ScopePSF,MATCH(Deals!O3,ScopeNames,0)),INDEX(ScopePSF,3))*(1+Contingency)+BlindAllowance+N(Deals!P3))</f>
        <v>124048</v>
      </c>
      <c r="P3" s="26" t="n">
        <f aca="false">IF(A3="","",IF(N(Deals!K3)&gt;0,Deals!K3,N(Deals!M3))*TaxRate/12+VacantInsMo+SecuringMo+UtilitiesMo+N(Deals!T3))</f>
        <v>902.21515</v>
      </c>
      <c r="Q3" s="26" t="n">
        <f aca="false">IF(A3="","",SheriffFees+PurchaseTitle+CompelDeedLegal+K3*PossessionCost+N(Deals!R3)+N(Deals!T3)*HOAArrearsMonths)</f>
        <v>12070</v>
      </c>
      <c r="R3" s="26" t="n">
        <f aca="false">IF(A3="","",N(Deals!M3)*(BrokerPct+SellerRTT+SellClosingPct+ConcessionsPct))</f>
        <v>64558.55</v>
      </c>
      <c r="S3" s="26" t="n">
        <f aca="false">IF(A3="","",Q3+O3+P3*M3)</f>
        <v>156868.94845</v>
      </c>
      <c r="T3" s="26" t="n">
        <f aca="false">IF(A3="","",N(Deals!M3)-R3-S3)</f>
        <v>473572.50155</v>
      </c>
      <c r="U3" s="26" t="n">
        <f aca="false">IF(A3="","",MIN(T3-FlipTarget,(T3-FlipMinAnnROI*M3/12*S3)/(1+FlipMinAnnROI*M3/12)))</f>
        <v>332794.313685922</v>
      </c>
      <c r="V3" s="26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327876.171119135</v>
      </c>
      <c r="W3" s="26" t="n">
        <f aca="false">IF(A3="","",((V3)*(1+BuyerPremium)+IF(N(Deals!S3)=0,0,MIN(N(Deals!S3),MAX(0,N(Deals!S3)+SheriffCostsFromBid-(V3)*(1-RTTPurchase)))))+S3)</f>
        <v>489663.262135922</v>
      </c>
      <c r="X3" s="26" t="n">
        <f aca="false">IF(A3="","",T3-((V3)*(1+BuyerPremium)+IF(N(Deals!S3)=0,0,MIN(N(Deals!S3),MAX(0,N(Deals!S3)+SheriffCostsFromBid-(V3)*(1-RTTPurchase))))))</f>
        <v>140778.187864078</v>
      </c>
      <c r="Y3" s="27" t="n">
        <f aca="false">IF(A3="","",IFERROR(X3/W3/(M3/12),0))</f>
        <v>0.15</v>
      </c>
      <c r="Z3" s="26" t="n">
        <f aca="false">IF(A3="","",N(Deals!N3)*12*(1-Vacancy)*(1-MgmtPct-MaintPct-CapexPct)-N(Deals!M3)*TaxRate-MAX(1,N(Deals!J3))*(InsPerUnit+WaterPerUnit)-N(Deals!T3)*12)</f>
        <v>12923.39</v>
      </c>
      <c r="AA3" s="26" t="n">
        <f aca="false">IF(A3="","",Q3+O3+P3*N3)</f>
        <v>155966.7333</v>
      </c>
      <c r="AB3" s="26" t="n">
        <f aca="false">IF(A3="","",MAX(0,MIN(RefiLTV*N(Deals!M3),Z3/(RefiDSCR*12*PMT(RefiRate/12,RefiTerm*12,-1)))))</f>
        <v>131558.02468168</v>
      </c>
      <c r="AC3" s="26" t="n">
        <f aca="false">IF(A3="","",Z3-AB3*12*PMT(RefiRate/12,RefiTerm*12,-1))</f>
        <v>2153.89833333333</v>
      </c>
      <c r="AD3" s="26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0</v>
      </c>
      <c r="AE3" s="26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0</v>
      </c>
      <c r="AF3" s="26" t="n">
        <f aca="false">IF(A3="","",IF(HoldMeasure="Cash-on-cash",AE3,AD3))</f>
        <v>0</v>
      </c>
      <c r="AG3" s="26" t="n">
        <f aca="false">IF(A3="","",((AF3)*(1+BuyerPremium)+IF(N(Deals!S3)=0,0,MIN(N(Deals!S3),MAX(0,N(Deals!S3)+SheriffCostsFromBid-(AF3)*(1-RTTPurchase)))))+AA3)</f>
        <v>155966.7333</v>
      </c>
      <c r="AH3" s="27" t="n">
        <f aca="false">IF(A3="","",IFERROR(Z3/AG3,0))</f>
        <v>0.0828599133069103</v>
      </c>
      <c r="AI3" s="26" t="n">
        <f aca="false">IF(A3="","",AG3-AB3*(1-RefiCostPct))</f>
        <v>28355.4493587708</v>
      </c>
      <c r="AJ3" s="27" t="n">
        <f aca="false">IF(A3="","",IF(AI3&lt;=0,"All cash out",AC3/AI3))</f>
        <v>0.0759606489067013</v>
      </c>
      <c r="AK3" s="26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349086.208423645</v>
      </c>
      <c r="AL3" s="26" t="str">
        <f aca="false">IF(OR(A3="",N(Deals!U3)=0),"",Deals!U3*N(Deals!W3))</f>
        <v/>
      </c>
      <c r="AM3" s="26" t="str">
        <f aca="false">IF(AL3="","",DemoCost+N(Deals!V3)*BuildCostPSF*(1+SoftCostPct)+P3*(DeedMonths+K3*EjectMonths+BuildMonths+SellMonths)+Q3+AL3*(BrokerPct+SellerRTT+SellClosingPct+ConcessionsPct))</f>
        <v/>
      </c>
      <c r="AN3" s="26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8.35" hidden="false" customHeight="false" outlineLevel="0" collapsed="false">
      <c r="A4" s="22" t="str">
        <f aca="false">IF(Deals!A4="","",Deals!A4)</f>
        <v>1311511-1</v>
      </c>
      <c r="B4" s="0" t="str">
        <f aca="false">IF(A4="","",Deals!B4)</f>
        <v>1 Base: ARV 675k, Heavy (stalled 2019 demo), vacant</v>
      </c>
      <c r="C4" s="21" t="str">
        <f aca="false">IF(A4="","",IF(MAX(V4,AF4)&lt;=0,"Pass",IF(V4&gt;=AF4,"Flip","Value-add hold")))</f>
        <v>Flip</v>
      </c>
      <c r="D4" s="23" t="n">
        <f aca="false">IF(A4="","",MAX(V4,AF4))</f>
        <v>274353.790147783</v>
      </c>
      <c r="E4" s="24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$247,154 over opening bid</v>
      </c>
      <c r="F4" s="23" t="n">
        <f aca="false">IF(A4="","",IF(C4="Flip",W4,IF(C4="Value-add hold",AG4,0)))</f>
        <v>489839.4</v>
      </c>
      <c r="G4" s="24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$122,460 profit, 15%/yr over 20 mo</v>
      </c>
      <c r="H4" s="21" t="str">
        <f aca="false">IF(A4="","",IF(C4="Flip",IF(W4&lt;=FlipCeiling,"In $300k flip box","Over flip ceiling: needs to be exceptional"),IF(C4="Value-add hold","Value-add","")))</f>
        <v>Over flip ceiling: needs to be exceptional</v>
      </c>
      <c r="I4" s="24" t="str">
        <f aca="false">IF(A4="","",TRIM(IF(AK4&gt;D4,"Wholesale assignment supports "&amp;TEXT(AK4,"$#,##0")&amp;". ","")&amp;IF(AND(ISNUMBER(AN4),N(AN4)&gt;D4),"Teardown/new units supports "&amp;TEXT(AN4,"$#,##0")&amp;".","")))</f>
        <v>Wholesale assignment supports $280,472.</v>
      </c>
      <c r="J4" s="24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/>
      </c>
      <c r="K4" s="22" t="n">
        <f aca="false">IF(A4="","",IF(OR(Deals!Q4="Occupied",AND(Deals!Q4&lt;&gt;"Vacant",UnknownAsOccupied="Y")),1,0))</f>
        <v>0</v>
      </c>
      <c r="L4" s="25" t="n">
        <f aca="false">IF(A4="","",IFERROR(INDEX(ScopeMonths,MATCH(Deals!O4,ScopeNames,0)),INDEX(ScopeMonths,3)))</f>
        <v>5</v>
      </c>
      <c r="M4" s="25" t="n">
        <f aca="false">IF(A4="","",DeedMonths+K4*EjectMonths+L4+SellMonths)</f>
        <v>20</v>
      </c>
      <c r="N4" s="25" t="n">
        <f aca="false">IF(A4="","",DeedMonths+K4*EjectMonths+L4+LeaseUpMonths)</f>
        <v>19</v>
      </c>
      <c r="O4" s="26" t="n">
        <f aca="false">IF(A4="","",N(Deals!G4)*IFERROR(INDEX(ScopePSF,MATCH(Deals!O4,ScopeNames,0)),INDEX(ScopePSF,3))*(1+Contingency)+BlindAllowance+N(Deals!P4))</f>
        <v>186256</v>
      </c>
      <c r="P4" s="26" t="n">
        <f aca="false">IF(A4="","",IF(N(Deals!K4)&gt;0,Deals!K4,N(Deals!M4))*TaxRate/12+VacantInsMo+SecuringMo+UtilitiesMo+N(Deals!T4))</f>
        <v>902.21515</v>
      </c>
      <c r="Q4" s="26" t="n">
        <f aca="false">IF(A4="","",SheriffFees+PurchaseTitle+CompelDeedLegal+K4*PossessionCost+N(Deals!R4)+N(Deals!T4)*HOAArrearsMonths)</f>
        <v>7070</v>
      </c>
      <c r="R4" s="26" t="n">
        <f aca="false">IF(A4="","",N(Deals!M4)*(BrokerPct+SellerRTT+SellClosingPct+ConcessionsPct))</f>
        <v>62700.75</v>
      </c>
      <c r="S4" s="26" t="n">
        <f aca="false">IF(A4="","",Q4+O4+P4*M4)</f>
        <v>211370.303</v>
      </c>
      <c r="T4" s="26" t="n">
        <f aca="false">IF(A4="","",N(Deals!M4)-R4-S4)</f>
        <v>400928.947</v>
      </c>
      <c r="U4" s="26" t="n">
        <f aca="false">IF(A4="","",MIN(T4-FlipTarget,(T4-FlipMinAnnROI*M4/12*S4)/(1+FlipMinAnnROI*M4/12)))</f>
        <v>278469.097</v>
      </c>
      <c r="V4" s="26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274353.790147783</v>
      </c>
      <c r="W4" s="26" t="n">
        <f aca="false">IF(A4="","",((V4)*(1+BuyerPremium)+IF(N(Deals!S4)=0,0,MIN(N(Deals!S4),MAX(0,N(Deals!S4)+SheriffCostsFromBid-(V4)*(1-RTTPurchase)))))+S4)</f>
        <v>489839.4</v>
      </c>
      <c r="X4" s="26" t="n">
        <f aca="false">IF(A4="","",T4-((V4)*(1+BuyerPremium)+IF(N(Deals!S4)=0,0,MIN(N(Deals!S4),MAX(0,N(Deals!S4)+SheriffCostsFromBid-(V4)*(1-RTTPurchase))))))</f>
        <v>122459.85</v>
      </c>
      <c r="Y4" s="27" t="n">
        <f aca="false">IF(A4="","",IFERROR(X4/W4/(M4/12),0))</f>
        <v>0.15</v>
      </c>
      <c r="Z4" s="26" t="n">
        <f aca="false">IF(A4="","",N(Deals!N4)*12*(1-Vacancy)*(1-MgmtPct-MaintPct-CapexPct)-N(Deals!M4)*TaxRate-MAX(1,N(Deals!J4))*(InsPerUnit+WaterPerUnit)-N(Deals!T4)*12)</f>
        <v>17220.95</v>
      </c>
      <c r="AA4" s="26" t="n">
        <f aca="false">IF(A4="","",Q4+O4+P4*N4)</f>
        <v>210468.08785</v>
      </c>
      <c r="AB4" s="26" t="n">
        <f aca="false">IF(A4="","",MAX(0,MIN(RefiLTV*N(Deals!M4),Z4/(RefiDSCR*12*PMT(RefiRate/12,RefiTerm*12,-1)))))</f>
        <v>175306.491960853</v>
      </c>
      <c r="AC4" s="26" t="n">
        <f aca="false">IF(A4="","",Z4-AB4*12*PMT(RefiRate/12,RefiTerm*12,-1))</f>
        <v>2870.15833333333</v>
      </c>
      <c r="AD4" s="26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0</v>
      </c>
      <c r="AE4" s="26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0</v>
      </c>
      <c r="AF4" s="26" t="n">
        <f aca="false">IF(A4="","",IF(HoldMeasure="Cash-on-cash",AE4,AD4))</f>
        <v>0</v>
      </c>
      <c r="AG4" s="26" t="n">
        <f aca="false">IF(A4="","",((AF4)*(1+BuyerPremium)+IF(N(Deals!S4)=0,0,MIN(N(Deals!S4),MAX(0,N(Deals!S4)+SheriffCostsFromBid-(AF4)*(1-RTTPurchase)))))+AA4)</f>
        <v>210468.08785</v>
      </c>
      <c r="AH4" s="27" t="n">
        <f aca="false">IF(A4="","",IFERROR(Z4/AG4,0))</f>
        <v>0.0818221430902785</v>
      </c>
      <c r="AI4" s="26" t="n">
        <f aca="false">IF(A4="","",AG4-AB4*(1-RefiCostPct))</f>
        <v>40420.7906479724</v>
      </c>
      <c r="AJ4" s="27" t="n">
        <f aca="false">IF(A4="","",IF(AI4&lt;=0,"All cash out",AC4/AI4))</f>
        <v>0.0710069814895446</v>
      </c>
      <c r="AK4" s="26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280471.868965517</v>
      </c>
      <c r="AL4" s="26" t="str">
        <f aca="false">IF(OR(A4="",N(Deals!U4)=0),"",Deals!U4*N(Deals!W4))</f>
        <v/>
      </c>
      <c r="AM4" s="26" t="str">
        <f aca="false">IF(AL4="","",DemoCost+N(Deals!V4)*BuildCostPSF*(1+SoftCostPct)+P4*(DeedMonths+K4*EjectMonths+BuildMonths+SellMonths)+Q4+AL4*(BrokerPct+SellerRTT+SellClosingPct+ConcessionsPct))</f>
        <v/>
      </c>
      <c r="AN4" s="26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8.35" hidden="false" customHeight="false" outlineLevel="0" collapsed="false">
      <c r="A5" s="22" t="str">
        <f aca="false">IF(Deals!A5="","",Deals!A5)</f>
        <v>1311511-2</v>
      </c>
      <c r="B5" s="0" t="str">
        <f aca="false">IF(A5="","",Deals!B5)</f>
        <v>2 Base but occupied (squatter/holdover)</v>
      </c>
      <c r="C5" s="21" t="str">
        <f aca="false">IF(A5="","",IF(MAX(V5,AF5)&lt;=0,"Pass",IF(V5&gt;=AF5,"Flip","Value-add hold")))</f>
        <v>Flip</v>
      </c>
      <c r="D5" s="23" t="n">
        <f aca="false">IF(A5="","",MAX(V5,AF5))</f>
        <v>242002.301020408</v>
      </c>
      <c r="E5" s="24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$214,802 over opening bid</v>
      </c>
      <c r="F5" s="23" t="n">
        <f aca="false">IF(A5="","",IF(C5="Flip",W5,IF(C5="Value-add hold",AG5,0)))</f>
        <v>466513.714285714</v>
      </c>
      <c r="G5" s="24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$145,786 profit, 15%/yr over 25 mo</v>
      </c>
      <c r="H5" s="21" t="str">
        <f aca="false">IF(A5="","",IF(C5="Flip",IF(W5&lt;=FlipCeiling,"In $300k flip box","Over flip ceiling: needs to be exceptional"),IF(C5="Value-add hold","Value-add","")))</f>
        <v>Over flip ceiling: needs to be exceptional</v>
      </c>
      <c r="I5" s="24" t="str">
        <f aca="false">IF(A5="","",TRIM(IF(AK5&gt;D5,"Wholesale assignment supports "&amp;TEXT(AK5,"$#,##0")&amp;". ","")&amp;IF(AND(ISNUMBER(AN5),N(AN5)&gt;D5),"Teardown/new units supports "&amp;TEXT(AN5,"$#,##0")&amp;".","")))</f>
        <v>Wholesale assignment supports $271,101.</v>
      </c>
      <c r="J5" s="24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>Occupancy assumed: +5 mo and possession cost.</v>
      </c>
      <c r="K5" s="22" t="n">
        <f aca="false">IF(A5="","",IF(OR(Deals!Q5="Occupied",AND(Deals!Q5&lt;&gt;"Vacant",UnknownAsOccupied="Y")),1,0))</f>
        <v>1</v>
      </c>
      <c r="L5" s="25" t="n">
        <f aca="false">IF(A5="","",IFERROR(INDEX(ScopeMonths,MATCH(Deals!O5,ScopeNames,0)),INDEX(ScopeMonths,3)))</f>
        <v>5</v>
      </c>
      <c r="M5" s="25" t="n">
        <f aca="false">IF(A5="","",DeedMonths+K5*EjectMonths+L5+SellMonths)</f>
        <v>25</v>
      </c>
      <c r="N5" s="25" t="n">
        <f aca="false">IF(A5="","",DeedMonths+K5*EjectMonths+L5+LeaseUpMonths)</f>
        <v>24</v>
      </c>
      <c r="O5" s="26" t="n">
        <f aca="false">IF(A5="","",N(Deals!G5)*IFERROR(INDEX(ScopePSF,MATCH(Deals!O5,ScopeNames,0)),INDEX(ScopePSF,3))*(1+Contingency)+BlindAllowance+N(Deals!P5))</f>
        <v>186256</v>
      </c>
      <c r="P5" s="26" t="n">
        <f aca="false">IF(A5="","",IF(N(Deals!K5)&gt;0,Deals!K5,N(Deals!M5))*TaxRate/12+VacantInsMo+SecuringMo+UtilitiesMo+N(Deals!T5))</f>
        <v>902.21515</v>
      </c>
      <c r="Q5" s="26" t="n">
        <f aca="false">IF(A5="","",SheriffFees+PurchaseTitle+CompelDeedLegal+K5*PossessionCost+N(Deals!R5)+N(Deals!T5)*HOAArrearsMonths)</f>
        <v>12070</v>
      </c>
      <c r="R5" s="26" t="n">
        <f aca="false">IF(A5="","",N(Deals!M5)*(BrokerPct+SellerRTT+SellClosingPct+ConcessionsPct))</f>
        <v>62700.75</v>
      </c>
      <c r="S5" s="26" t="n">
        <f aca="false">IF(A5="","",Q5+O5+P5*M5)</f>
        <v>220881.37875</v>
      </c>
      <c r="T5" s="26" t="n">
        <f aca="false">IF(A5="","",N(Deals!M5)-R5-S5)</f>
        <v>391417.87125</v>
      </c>
      <c r="U5" s="26" t="n">
        <f aca="false">IF(A5="","",MIN(T5-FlipTarget,(T5-FlipMinAnnROI*M5/12*S5)/(1+FlipMinAnnROI*M5/12)))</f>
        <v>245632.335535714</v>
      </c>
      <c r="V5" s="26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242002.301020408</v>
      </c>
      <c r="W5" s="26" t="n">
        <f aca="false">IF(A5="","",((V5)*(1+BuyerPremium)+IF(N(Deals!S5)=0,0,MIN(N(Deals!S5),MAX(0,N(Deals!S5)+SheriffCostsFromBid-(V5)*(1-RTTPurchase)))))+S5)</f>
        <v>466513.714285714</v>
      </c>
      <c r="X5" s="26" t="n">
        <f aca="false">IF(A5="","",T5-((V5)*(1+BuyerPremium)+IF(N(Deals!S5)=0,0,MIN(N(Deals!S5),MAX(0,N(Deals!S5)+SheriffCostsFromBid-(V5)*(1-RTTPurchase))))))</f>
        <v>145785.535714286</v>
      </c>
      <c r="Y5" s="27" t="n">
        <f aca="false">IF(A5="","",IFERROR(X5/W5/(M5/12),0))</f>
        <v>0.15</v>
      </c>
      <c r="Z5" s="26" t="n">
        <f aca="false">IF(A5="","",N(Deals!N5)*12*(1-Vacancy)*(1-MgmtPct-MaintPct-CapexPct)-N(Deals!M5)*TaxRate-MAX(1,N(Deals!J5))*(InsPerUnit+WaterPerUnit)-N(Deals!T5)*12)</f>
        <v>17220.95</v>
      </c>
      <c r="AA5" s="26" t="n">
        <f aca="false">IF(A5="","",Q5+O5+P5*N5)</f>
        <v>219979.1636</v>
      </c>
      <c r="AB5" s="26" t="n">
        <f aca="false">IF(A5="","",MAX(0,MIN(RefiLTV*N(Deals!M5),Z5/(RefiDSCR*12*PMT(RefiRate/12,RefiTerm*12,-1)))))</f>
        <v>175306.491960853</v>
      </c>
      <c r="AC5" s="26" t="n">
        <f aca="false">IF(A5="","",Z5-AB5*12*PMT(RefiRate/12,RefiTerm*12,-1))</f>
        <v>2870.15833333333</v>
      </c>
      <c r="AD5" s="26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0</v>
      </c>
      <c r="AE5" s="26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0</v>
      </c>
      <c r="AF5" s="26" t="n">
        <f aca="false">IF(A5="","",IF(HoldMeasure="Cash-on-cash",AE5,AD5))</f>
        <v>0</v>
      </c>
      <c r="AG5" s="26" t="n">
        <f aca="false">IF(A5="","",((AF5)*(1+BuyerPremium)+IF(N(Deals!S5)=0,0,MIN(N(Deals!S5),MAX(0,N(Deals!S5)+SheriffCostsFromBid-(AF5)*(1-RTTPurchase)))))+AA5)</f>
        <v>219979.1636</v>
      </c>
      <c r="AH5" s="27" t="n">
        <f aca="false">IF(A5="","",IFERROR(Z5/AG5,0))</f>
        <v>0.0782844598469053</v>
      </c>
      <c r="AI5" s="26" t="n">
        <f aca="false">IF(A5="","",AG5-AB5*(1-RefiCostPct))</f>
        <v>49931.8663979724</v>
      </c>
      <c r="AJ5" s="27" t="n">
        <f aca="false">IF(A5="","",IF(AI5&lt;=0,"All cash out",AC5/AI5))</f>
        <v>0.0574814950928789</v>
      </c>
      <c r="AK5" s="26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271101.350985222</v>
      </c>
      <c r="AL5" s="26" t="str">
        <f aca="false">IF(OR(A5="",N(Deals!U5)=0),"",Deals!U5*N(Deals!W5))</f>
        <v/>
      </c>
      <c r="AM5" s="26" t="str">
        <f aca="false">IF(AL5="","",DemoCost+N(Deals!V5)*BuildCostPSF*(1+SoftCostPct)+P5*(DeedMonths+K5*EjectMonths+BuildMonths+SellMonths)+Q5+AL5*(BrokerPct+SellerRTT+SellClosingPct+ConcessionsPct))</f>
        <v/>
      </c>
      <c r="AN5" s="26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8.35" hidden="false" customHeight="false" outlineLevel="0" collapsed="false">
      <c r="A6" s="22" t="str">
        <f aca="false">IF(Deals!A6="","",Deals!A6)</f>
        <v>1311511-3</v>
      </c>
      <c r="B6" s="0" t="str">
        <f aca="false">IF(A6="","",Deals!B6)</f>
        <v>3 Downside: ARV 640k, Gut, vacant</v>
      </c>
      <c r="C6" s="21" t="str">
        <f aca="false">IF(A6="","",IF(MAX(V6,AF6)&lt;=0,"Pass",IF(V6&gt;=AF6,"Flip","Value-add hold")))</f>
        <v>Flip</v>
      </c>
      <c r="D6" s="23" t="n">
        <f aca="false">IF(A6="","",MAX(V6,AF6))</f>
        <v>156861.983998841</v>
      </c>
      <c r="E6" s="24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$129,662 over opening bid</v>
      </c>
      <c r="F6" s="23" t="n">
        <f aca="false">IF(A6="","",IF(C6="Flip",W6,IF(C6="Value-add hold",AG6,0)))</f>
        <v>455333.647058824</v>
      </c>
      <c r="G6" s="24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$125,217 profit, 15%/yr over 22 mo</v>
      </c>
      <c r="H6" s="21" t="str">
        <f aca="false">IF(A6="","",IF(C6="Flip",IF(W6&lt;=FlipCeiling,"In $300k flip box","Over flip ceiling: needs to be exceptional"),IF(C6="Value-add hold","Value-add","")))</f>
        <v>Over flip ceiling: needs to be exceptional</v>
      </c>
      <c r="I6" s="24" t="str">
        <f aca="false">IF(A6="","",TRIM(IF(AK6&gt;D6,"Wholesale assignment supports "&amp;TEXT(AK6,"$#,##0")&amp;". ","")&amp;IF(AND(ISNUMBER(AN6),N(AN6)&gt;D6),"Teardown/new units supports "&amp;TEXT(AN6,"$#,##0")&amp;".","")))</f>
        <v>Wholesale assignment supports $170,869.</v>
      </c>
      <c r="J6" s="24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/>
      </c>
      <c r="K6" s="22" t="n">
        <f aca="false">IF(A6="","",IF(OR(Deals!Q6="Occupied",AND(Deals!Q6&lt;&gt;"Vacant",UnknownAsOccupied="Y")),1,0))</f>
        <v>0</v>
      </c>
      <c r="L6" s="25" t="n">
        <f aca="false">IF(A6="","",IFERROR(INDEX(ScopeMonths,MATCH(Deals!O6,ScopeNames,0)),INDEX(ScopeMonths,3)))</f>
        <v>7</v>
      </c>
      <c r="M6" s="25" t="n">
        <f aca="false">IF(A6="","",DeedMonths+K6*EjectMonths+L6+SellMonths)</f>
        <v>22</v>
      </c>
      <c r="N6" s="25" t="n">
        <f aca="false">IF(A6="","",DeedMonths+K6*EjectMonths+L6+LeaseUpMonths)</f>
        <v>21</v>
      </c>
      <c r="O6" s="26" t="n">
        <f aca="false">IF(A6="","",N(Deals!G6)*IFERROR(INDEX(ScopePSF,MATCH(Deals!O6,ScopeNames,0)),INDEX(ScopePSF,3))*(1+Contingency)+BlindAllowance+N(Deals!P6))</f>
        <v>269200</v>
      </c>
      <c r="P6" s="26" t="n">
        <f aca="false">IF(A6="","",IF(N(Deals!K6)&gt;0,Deals!K6,N(Deals!M6))*TaxRate/12+VacantInsMo+SecuringMo+UtilitiesMo+N(Deals!T6))</f>
        <v>902.21515</v>
      </c>
      <c r="Q6" s="26" t="n">
        <f aca="false">IF(A6="","",SheriffFees+PurchaseTitle+CompelDeedLegal+K6*PossessionCost+N(Deals!R6)+N(Deals!T6)*HOAArrearsMonths)</f>
        <v>7070</v>
      </c>
      <c r="R6" s="26" t="n">
        <f aca="false">IF(A6="","",N(Deals!M6)*(BrokerPct+SellerRTT+SellClosingPct+ConcessionsPct))</f>
        <v>59449.6</v>
      </c>
      <c r="S6" s="26" t="n">
        <f aca="false">IF(A6="","",Q6+O6+P6*M6)</f>
        <v>296118.7333</v>
      </c>
      <c r="T6" s="26" t="n">
        <f aca="false">IF(A6="","",N(Deals!M6)-R6-S6)</f>
        <v>284431.6667</v>
      </c>
      <c r="U6" s="26" t="n">
        <f aca="false">IF(A6="","",MIN(T6-FlipTarget,(T6-FlipMinAnnROI*M6/12*S6)/(1+FlipMinAnnROI*M6/12)))</f>
        <v>159214.913758824</v>
      </c>
      <c r="V6" s="26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156861.983998841</v>
      </c>
      <c r="W6" s="26" t="n">
        <f aca="false">IF(A6="","",((V6)*(1+BuyerPremium)+IF(N(Deals!S6)=0,0,MIN(N(Deals!S6),MAX(0,N(Deals!S6)+SheriffCostsFromBid-(V6)*(1-RTTPurchase)))))+S6)</f>
        <v>455333.647058824</v>
      </c>
      <c r="X6" s="26" t="n">
        <f aca="false">IF(A6="","",T6-((V6)*(1+BuyerPremium)+IF(N(Deals!S6)=0,0,MIN(N(Deals!S6),MAX(0,N(Deals!S6)+SheriffCostsFromBid-(V6)*(1-RTTPurchase))))))</f>
        <v>125216.752941176</v>
      </c>
      <c r="Y6" s="27" t="n">
        <f aca="false">IF(A6="","",IFERROR(X6/W6/(M6/12),0))</f>
        <v>0.15</v>
      </c>
      <c r="Z6" s="26" t="n">
        <f aca="false">IF(A6="","",N(Deals!N6)*12*(1-Vacancy)*(1-MgmtPct-MaintPct-CapexPct)-N(Deals!M6)*TaxRate-MAX(1,N(Deals!J6))*(InsPerUnit+WaterPerUnit)-N(Deals!T6)*12)</f>
        <v>15925.28</v>
      </c>
      <c r="AA6" s="26" t="n">
        <f aca="false">IF(A6="","",Q6+O6+P6*N6)</f>
        <v>295216.51815</v>
      </c>
      <c r="AB6" s="26" t="n">
        <f aca="false">IF(A6="","",MAX(0,MIN(RefiLTV*N(Deals!M6),Z6/(RefiDSCR*12*PMT(RefiRate/12,RefiTerm*12,-1)))))</f>
        <v>162116.780450227</v>
      </c>
      <c r="AC6" s="26" t="n">
        <f aca="false">IF(A6="","",Z6-AB6*12*PMT(RefiRate/12,RefiTerm*12,-1))</f>
        <v>2654.21333333333</v>
      </c>
      <c r="AD6" s="26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0</v>
      </c>
      <c r="AE6" s="26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0</v>
      </c>
      <c r="AF6" s="26" t="n">
        <f aca="false">IF(A6="","",IF(HoldMeasure="Cash-on-cash",AE6,AD6))</f>
        <v>0</v>
      </c>
      <c r="AG6" s="26" t="n">
        <f aca="false">IF(A6="","",((AF6)*(1+BuyerPremium)+IF(N(Deals!S6)=0,0,MIN(N(Deals!S6),MAX(0,N(Deals!S6)+SheriffCostsFromBid-(AF6)*(1-RTTPurchase)))))+AA6)</f>
        <v>295216.51815</v>
      </c>
      <c r="AH6" s="27" t="n">
        <f aca="false">IF(A6="","",IFERROR(Z6/AG6,0))</f>
        <v>0.0539444069722018</v>
      </c>
      <c r="AI6" s="26" t="n">
        <f aca="false">IF(A6="","",AG6-AB6*(1-RefiCostPct))</f>
        <v>137963.24111328</v>
      </c>
      <c r="AJ6" s="27" t="n">
        <f aca="false">IF(A6="","",IF(AI6&lt;=0,"All cash out",AC6/AI6))</f>
        <v>0.0192385545012964</v>
      </c>
      <c r="AK6" s="26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170868.637142857</v>
      </c>
      <c r="AL6" s="26" t="str">
        <f aca="false">IF(OR(A6="",N(Deals!U6)=0),"",Deals!U6*N(Deals!W6))</f>
        <v/>
      </c>
      <c r="AM6" s="26" t="str">
        <f aca="false">IF(AL6="","",DemoCost+N(Deals!V6)*BuildCostPSF*(1+SoftCostPct)+P6*(DeedMonths+K6*EjectMonths+BuildMonths+SellMonths)+Q6+AL6*(BrokerPct+SellerRTT+SellClosingPct+ConcessionsPct))</f>
        <v/>
      </c>
      <c r="AN6" s="26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8.35" hidden="false" customHeight="false" outlineLevel="0" collapsed="false">
      <c r="A7" s="22" t="str">
        <f aca="false">IF(Deals!A7="","",Deals!A7)</f>
        <v>1311511-4</v>
      </c>
      <c r="B7" s="0" t="str">
        <f aca="false">IF(A7="","",Deals!B7)</f>
        <v>4 Upside: ARV 710k, Heavy, vacant</v>
      </c>
      <c r="C7" s="21" t="str">
        <f aca="false">IF(A7="","",IF(MAX(V7,AF7)&lt;=0,"Pass",IF(V7&gt;=AF7,"Flip","Value-add hold")))</f>
        <v>Flip</v>
      </c>
      <c r="D7" s="23" t="n">
        <f aca="false">IF(A7="","",MAX(V7,AF7))</f>
        <v>299377.514285714</v>
      </c>
      <c r="E7" s="24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Room of $272,178 over opening bid</v>
      </c>
      <c r="F7" s="23" t="n">
        <f aca="false">IF(A7="","",IF(C7="Flip",W7,IF(C7="Value-add hold",AG7,0)))</f>
        <v>515238.48</v>
      </c>
      <c r="G7" s="24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$128,810 profit, 15%/yr over 20 mo</v>
      </c>
      <c r="H7" s="21" t="str">
        <f aca="false">IF(A7="","",IF(C7="Flip",IF(W7&lt;=FlipCeiling,"In $300k flip box","Over flip ceiling: needs to be exceptional"),IF(C7="Value-add hold","Value-add","")))</f>
        <v>Over flip ceiling: needs to be exceptional</v>
      </c>
      <c r="I7" s="24" t="str">
        <f aca="false">IF(A7="","",TRIM(IF(AK7&gt;D7,"Wholesale assignment supports "&amp;TEXT(AK7,"$#,##0")&amp;". ","")&amp;IF(AND(ISNUMBER(AN7),N(AN7)&gt;D7),"Teardown/new units supports "&amp;TEXT(AN7,"$#,##0")&amp;".","")))</f>
        <v>Wholesale assignment supports $306,579.</v>
      </c>
      <c r="J7" s="24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/>
      </c>
      <c r="K7" s="22" t="n">
        <f aca="false">IF(A7="","",IF(OR(Deals!Q7="Occupied",AND(Deals!Q7&lt;&gt;"Vacant",UnknownAsOccupied="Y")),1,0))</f>
        <v>0</v>
      </c>
      <c r="L7" s="25" t="n">
        <f aca="false">IF(A7="","",IFERROR(INDEX(ScopeMonths,MATCH(Deals!O7,ScopeNames,0)),INDEX(ScopeMonths,3)))</f>
        <v>5</v>
      </c>
      <c r="M7" s="25" t="n">
        <f aca="false">IF(A7="","",DeedMonths+K7*EjectMonths+L7+SellMonths)</f>
        <v>20</v>
      </c>
      <c r="N7" s="25" t="n">
        <f aca="false">IF(A7="","",DeedMonths+K7*EjectMonths+L7+LeaseUpMonths)</f>
        <v>19</v>
      </c>
      <c r="O7" s="26" t="n">
        <f aca="false">IF(A7="","",N(Deals!G7)*IFERROR(INDEX(ScopePSF,MATCH(Deals!O7,ScopeNames,0)),INDEX(ScopePSF,3))*(1+Contingency)+BlindAllowance+N(Deals!P7))</f>
        <v>186256</v>
      </c>
      <c r="P7" s="26" t="n">
        <f aca="false">IF(A7="","",IF(N(Deals!K7)&gt;0,Deals!K7,N(Deals!M7))*TaxRate/12+VacantInsMo+SecuringMo+UtilitiesMo+N(Deals!T7))</f>
        <v>902.21515</v>
      </c>
      <c r="Q7" s="26" t="n">
        <f aca="false">IF(A7="","",SheriffFees+PurchaseTitle+CompelDeedLegal+K7*PossessionCost+N(Deals!R7)+N(Deals!T7)*HOAArrearsMonths)</f>
        <v>7070</v>
      </c>
      <c r="R7" s="26" t="n">
        <f aca="false">IF(A7="","",N(Deals!M7)*(BrokerPct+SellerRTT+SellClosingPct+ConcessionsPct))</f>
        <v>65951.9</v>
      </c>
      <c r="S7" s="26" t="n">
        <f aca="false">IF(A7="","",Q7+O7+P7*M7)</f>
        <v>211370.303</v>
      </c>
      <c r="T7" s="26" t="n">
        <f aca="false">IF(A7="","",N(Deals!M7)-R7-S7)</f>
        <v>432677.797</v>
      </c>
      <c r="U7" s="26" t="n">
        <f aca="false">IF(A7="","",MIN(T7-FlipTarget,(T7-FlipMinAnnROI*M7/12*S7)/(1+FlipMinAnnROI*M7/12)))</f>
        <v>303868.177</v>
      </c>
      <c r="V7" s="26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299377.514285714</v>
      </c>
      <c r="W7" s="26" t="n">
        <f aca="false">IF(A7="","",((V7)*(1+BuyerPremium)+IF(N(Deals!S7)=0,0,MIN(N(Deals!S7),MAX(0,N(Deals!S7)+SheriffCostsFromBid-(V7)*(1-RTTPurchase)))))+S7)</f>
        <v>515238.48</v>
      </c>
      <c r="X7" s="26" t="n">
        <f aca="false">IF(A7="","",T7-((V7)*(1+BuyerPremium)+IF(N(Deals!S7)=0,0,MIN(N(Deals!S7),MAX(0,N(Deals!S7)+SheriffCostsFromBid-(V7)*(1-RTTPurchase))))))</f>
        <v>128809.62</v>
      </c>
      <c r="Y7" s="27" t="n">
        <f aca="false">IF(A7="","",IFERROR(X7/W7/(M7/12),0))</f>
        <v>0.15</v>
      </c>
      <c r="Z7" s="26" t="n">
        <f aca="false">IF(A7="","",N(Deals!N7)*12*(1-Vacancy)*(1-MgmtPct-MaintPct-CapexPct)-N(Deals!M7)*TaxRate-MAX(1,N(Deals!J7))*(InsPerUnit+WaterPerUnit)-N(Deals!T7)*12)</f>
        <v>18516.62</v>
      </c>
      <c r="AA7" s="26" t="n">
        <f aca="false">IF(A7="","",Q7+O7+P7*N7)</f>
        <v>210468.08785</v>
      </c>
      <c r="AB7" s="26" t="n">
        <f aca="false">IF(A7="","",MAX(0,MIN(RefiLTV*N(Deals!M7),Z7/(RefiDSCR*12*PMT(RefiRate/12,RefiTerm*12,-1)))))</f>
        <v>188496.203471479</v>
      </c>
      <c r="AC7" s="26" t="n">
        <f aca="false">IF(A7="","",Z7-AB7*12*PMT(RefiRate/12,RefiTerm*12,-1))</f>
        <v>3086.10333333333</v>
      </c>
      <c r="AD7" s="26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0</v>
      </c>
      <c r="AE7" s="26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0</v>
      </c>
      <c r="AF7" s="26" t="n">
        <f aca="false">IF(A7="","",IF(HoldMeasure="Cash-on-cash",AE7,AD7))</f>
        <v>0</v>
      </c>
      <c r="AG7" s="26" t="n">
        <f aca="false">IF(A7="","",((AF7)*(1+BuyerPremium)+IF(N(Deals!S7)=0,0,MIN(N(Deals!S7),MAX(0,N(Deals!S7)+SheriffCostsFromBid-(AF7)*(1-RTTPurchase)))))+AA7)</f>
        <v>210468.08785</v>
      </c>
      <c r="AH7" s="27" t="n">
        <f aca="false">IF(A7="","",IFERROR(Z7/AG7,0))</f>
        <v>0.0879782782708452</v>
      </c>
      <c r="AI7" s="26" t="n">
        <f aca="false">IF(A7="","",AG7-AB7*(1-RefiCostPct))</f>
        <v>27626.7704826649</v>
      </c>
      <c r="AJ7" s="27" t="n">
        <f aca="false">IF(A7="","",IF(AI7&lt;=0,"All cash out",AC7/AI7))</f>
        <v>0.111706988526574</v>
      </c>
      <c r="AK7" s="26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306579.110344828</v>
      </c>
      <c r="AL7" s="26" t="str">
        <f aca="false">IF(OR(A7="",N(Deals!U7)=0),"",Deals!U7*N(Deals!W7))</f>
        <v/>
      </c>
      <c r="AM7" s="26" t="str">
        <f aca="false">IF(AL7="","",DemoCost+N(Deals!V7)*BuildCostPSF*(1+SoftCostPct)+P7*(DeedMonths+K7*EjectMonths+BuildMonths+SellMonths)+Q7+AL7*(BrokerPct+SellerRTT+SellClosingPct+ConcessionsPct))</f>
        <v/>
      </c>
      <c r="AN7" s="26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8.35" hidden="false" customHeight="false" outlineLevel="0" collapsed="false">
      <c r="A8" s="22" t="str">
        <f aca="false">IF(Deals!A8="","",Deals!A8)</f>
        <v>1311511-5</v>
      </c>
      <c r="B8" s="0" t="str">
        <f aca="false">IF(A8="","",Deals!B8)</f>
        <v>5 Junior plaintiff: base + $300k senior survives</v>
      </c>
      <c r="C8" s="21" t="str">
        <f aca="false">IF(A8="","",IF(MAX(V8,AF8)&lt;=0,"Pass",IF(V8&gt;=AF8,"Flip","Value-add hold")))</f>
        <v>Pass</v>
      </c>
      <c r="D8" s="23" t="n">
        <f aca="false">IF(A8="","",MAX(V8,AF8))</f>
        <v>0</v>
      </c>
      <c r="E8" s="24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Pass</v>
      </c>
      <c r="F8" s="23" t="n">
        <f aca="false">IF(A8="","",IF(C8="Flip",W8,IF(C8="Value-add hold",AG8,0)))</f>
        <v>0</v>
      </c>
      <c r="G8" s="24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/>
      </c>
      <c r="H8" s="21" t="str">
        <f aca="false">IF(A8="","",IF(C8="Flip",IF(W8&lt;=FlipCeiling,"In $300k flip box","Over flip ceiling: needs to be exceptional"),IF(C8="Value-add hold","Value-add","")))</f>
        <v/>
      </c>
      <c r="I8" s="24" t="str">
        <f aca="false">IF(A8="","",TRIM(IF(AK8&gt;D8,"Wholesale assignment supports "&amp;TEXT(AK8,"$#,##0")&amp;". ","")&amp;IF(AND(ISNUMBER(AN8),N(AN8)&gt;D8),"Teardown/new units supports "&amp;TEXT(AN8,"$#,##0")&amp;".","")))</f>
        <v/>
      </c>
      <c r="J8" s="24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>Plaintiff is 2nd: add senior mortgage to surviving liens.</v>
      </c>
      <c r="K8" s="22" t="n">
        <f aca="false">IF(A8="","",IF(OR(Deals!Q8="Occupied",AND(Deals!Q8&lt;&gt;"Vacant",UnknownAsOccupied="Y")),1,0))</f>
        <v>0</v>
      </c>
      <c r="L8" s="25" t="n">
        <f aca="false">IF(A8="","",IFERROR(INDEX(ScopeMonths,MATCH(Deals!O8,ScopeNames,0)),INDEX(ScopeMonths,3)))</f>
        <v>5</v>
      </c>
      <c r="M8" s="25" t="n">
        <f aca="false">IF(A8="","",DeedMonths+K8*EjectMonths+L8+SellMonths)</f>
        <v>20</v>
      </c>
      <c r="N8" s="25" t="n">
        <f aca="false">IF(A8="","",DeedMonths+K8*EjectMonths+L8+LeaseUpMonths)</f>
        <v>19</v>
      </c>
      <c r="O8" s="26" t="n">
        <f aca="false">IF(A8="","",N(Deals!G8)*IFERROR(INDEX(ScopePSF,MATCH(Deals!O8,ScopeNames,0)),INDEX(ScopePSF,3))*(1+Contingency)+BlindAllowance+N(Deals!P8))</f>
        <v>186256</v>
      </c>
      <c r="P8" s="26" t="n">
        <f aca="false">IF(A8="","",IF(N(Deals!K8)&gt;0,Deals!K8,N(Deals!M8))*TaxRate/12+VacantInsMo+SecuringMo+UtilitiesMo+N(Deals!T8))</f>
        <v>902.21515</v>
      </c>
      <c r="Q8" s="26" t="n">
        <f aca="false">IF(A8="","",SheriffFees+PurchaseTitle+CompelDeedLegal+K8*PossessionCost+N(Deals!R8)+N(Deals!T8)*HOAArrearsMonths)</f>
        <v>307070</v>
      </c>
      <c r="R8" s="26" t="n">
        <f aca="false">IF(A8="","",N(Deals!M8)*(BrokerPct+SellerRTT+SellClosingPct+ConcessionsPct))</f>
        <v>62700.75</v>
      </c>
      <c r="S8" s="26" t="n">
        <f aca="false">IF(A8="","",Q8+O8+P8*M8)</f>
        <v>511370.303</v>
      </c>
      <c r="T8" s="26" t="n">
        <f aca="false">IF(A8="","",N(Deals!M8)-R8-S8)</f>
        <v>100928.947</v>
      </c>
      <c r="U8" s="26" t="n">
        <f aca="false">IF(A8="","",MIN(T8-FlipTarget,(T8-FlipMinAnnROI*M8/12*S8)/(1+FlipMinAnnROI*M8/12)))</f>
        <v>-21530.903</v>
      </c>
      <c r="V8" s="26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0</v>
      </c>
      <c r="W8" s="26" t="n">
        <f aca="false">IF(A8="","",((V8)*(1+BuyerPremium)+IF(N(Deals!S8)=0,0,MIN(N(Deals!S8),MAX(0,N(Deals!S8)+SheriffCostsFromBid-(V8)*(1-RTTPurchase)))))+S8)</f>
        <v>511370.303</v>
      </c>
      <c r="X8" s="26" t="n">
        <f aca="false">IF(A8="","",T8-((V8)*(1+BuyerPremium)+IF(N(Deals!S8)=0,0,MIN(N(Deals!S8),MAX(0,N(Deals!S8)+SheriffCostsFromBid-(V8)*(1-RTTPurchase))))))</f>
        <v>100928.947</v>
      </c>
      <c r="Y8" s="27" t="n">
        <f aca="false">IF(A8="","",IFERROR(X8/W8/(M8/12),0))</f>
        <v>0.118421753951559</v>
      </c>
      <c r="Z8" s="26" t="n">
        <f aca="false">IF(A8="","",N(Deals!N8)*12*(1-Vacancy)*(1-MgmtPct-MaintPct-CapexPct)-N(Deals!M8)*TaxRate-MAX(1,N(Deals!J8))*(InsPerUnit+WaterPerUnit)-N(Deals!T8)*12)</f>
        <v>17220.95</v>
      </c>
      <c r="AA8" s="26" t="n">
        <f aca="false">IF(A8="","",Q8+O8+P8*N8)</f>
        <v>510468.08785</v>
      </c>
      <c r="AB8" s="26" t="n">
        <f aca="false">IF(A8="","",MAX(0,MIN(RefiLTV*N(Deals!M8),Z8/(RefiDSCR*12*PMT(RefiRate/12,RefiTerm*12,-1)))))</f>
        <v>175306.491960853</v>
      </c>
      <c r="AC8" s="26" t="n">
        <f aca="false">IF(A8="","",Z8-AB8*12*PMT(RefiRate/12,RefiTerm*12,-1))</f>
        <v>2870.15833333333</v>
      </c>
      <c r="AD8" s="26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0</v>
      </c>
      <c r="AE8" s="26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0</v>
      </c>
      <c r="AF8" s="26" t="n">
        <f aca="false">IF(A8="","",IF(HoldMeasure="Cash-on-cash",AE8,AD8))</f>
        <v>0</v>
      </c>
      <c r="AG8" s="26" t="n">
        <f aca="false">IF(A8="","",((AF8)*(1+BuyerPremium)+IF(N(Deals!S8)=0,0,MIN(N(Deals!S8),MAX(0,N(Deals!S8)+SheriffCostsFromBid-(AF8)*(1-RTTPurchase)))))+AA8)</f>
        <v>510468.08785</v>
      </c>
      <c r="AH8" s="27" t="n">
        <f aca="false">IF(A8="","",IFERROR(Z8/AG8,0))</f>
        <v>0.0337356054372205</v>
      </c>
      <c r="AI8" s="26" t="n">
        <f aca="false">IF(A8="","",AG8-AB8*(1-RefiCostPct))</f>
        <v>340420.790647972</v>
      </c>
      <c r="AJ8" s="27" t="n">
        <f aca="false">IF(A8="","",IF(AI8&lt;=0,"All cash out",AC8/AI8))</f>
        <v>0.00843120752956993</v>
      </c>
      <c r="AK8" s="26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0</v>
      </c>
      <c r="AL8" s="26" t="str">
        <f aca="false">IF(OR(A8="",N(Deals!U8)=0),"",Deals!U8*N(Deals!W8))</f>
        <v/>
      </c>
      <c r="AM8" s="26" t="str">
        <f aca="false">IF(AL8="","",DemoCost+N(Deals!V8)*BuildCostPSF*(1+SoftCostPct)+P8*(DeedMonths+K8*EjectMonths+BuildMonths+SellMonths)+Q8+AL8*(BrokerPct+SellerRTT+SellClosingPct+ConcessionsPct))</f>
        <v/>
      </c>
      <c r="AN8" s="26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15" hidden="false" customHeight="false" outlineLevel="0" collapsed="false">
      <c r="A9" s="22" t="str">
        <f aca="false">IF(Deals!A9="","",Deals!A9)</f>
        <v/>
      </c>
      <c r="B9" s="0" t="str">
        <f aca="false">IF(A9="","",Deals!B9)</f>
        <v/>
      </c>
      <c r="C9" s="21" t="str">
        <f aca="false">IF(A9="","",IF(MAX(V9,AF9)&lt;=0,"Pass",IF(V9&gt;=AF9,"Flip","Value-add hold")))</f>
        <v/>
      </c>
      <c r="D9" s="23" t="str">
        <f aca="false">IF(A9="","",MAX(V9,AF9))</f>
        <v/>
      </c>
      <c r="E9" s="24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/>
      </c>
      <c r="F9" s="23" t="str">
        <f aca="false">IF(A9="","",IF(C9="Flip",W9,IF(C9="Value-add hold",AG9,0)))</f>
        <v/>
      </c>
      <c r="G9" s="24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/>
      </c>
      <c r="H9" s="21" t="str">
        <f aca="false">IF(A9="","",IF(C9="Flip",IF(W9&lt;=FlipCeiling,"In $300k flip box","Over flip ceiling: needs to be exceptional"),IF(C9="Value-add hold","Value-add","")))</f>
        <v/>
      </c>
      <c r="I9" s="24" t="str">
        <f aca="false">IF(A9="","",TRIM(IF(AK9&gt;D9,"Wholesale assignment supports "&amp;TEXT(AK9,"$#,##0")&amp;". ","")&amp;IF(AND(ISNUMBER(AN9),N(AN9)&gt;D9),"Teardown/new units supports "&amp;TEXT(AN9,"$#,##0")&amp;".","")))</f>
        <v/>
      </c>
      <c r="J9" s="24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/>
      </c>
      <c r="K9" s="22" t="str">
        <f aca="false">IF(A9="","",IF(OR(Deals!Q9="Occupied",AND(Deals!Q9&lt;&gt;"Vacant",UnknownAsOccupied="Y")),1,0))</f>
        <v/>
      </c>
      <c r="L9" s="25" t="str">
        <f aca="false">IF(A9="","",IFERROR(INDEX(ScopeMonths,MATCH(Deals!O9,ScopeNames,0)),INDEX(ScopeMonths,3)))</f>
        <v/>
      </c>
      <c r="M9" s="25" t="str">
        <f aca="false">IF(A9="","",DeedMonths+K9*EjectMonths+L9+SellMonths)</f>
        <v/>
      </c>
      <c r="N9" s="25" t="str">
        <f aca="false">IF(A9="","",DeedMonths+K9*EjectMonths+L9+LeaseUpMonths)</f>
        <v/>
      </c>
      <c r="O9" s="26" t="str">
        <f aca="false">IF(A9="","",N(Deals!G9)*IFERROR(INDEX(ScopePSF,MATCH(Deals!O9,ScopeNames,0)),INDEX(ScopePSF,3))*(1+Contingency)+BlindAllowance+N(Deals!P9))</f>
        <v/>
      </c>
      <c r="P9" s="26" t="str">
        <f aca="false">IF(A9="","",IF(N(Deals!K9)&gt;0,Deals!K9,N(Deals!M9))*TaxRate/12+VacantInsMo+SecuringMo+UtilitiesMo+N(Deals!T9))</f>
        <v/>
      </c>
      <c r="Q9" s="26" t="str">
        <f aca="false">IF(A9="","",SheriffFees+PurchaseTitle+CompelDeedLegal+K9*PossessionCost+N(Deals!R9)+N(Deals!T9)*HOAArrearsMonths)</f>
        <v/>
      </c>
      <c r="R9" s="26" t="str">
        <f aca="false">IF(A9="","",N(Deals!M9)*(BrokerPct+SellerRTT+SellClosingPct+ConcessionsPct))</f>
        <v/>
      </c>
      <c r="S9" s="26" t="str">
        <f aca="false">IF(A9="","",Q9+O9+P9*M9)</f>
        <v/>
      </c>
      <c r="T9" s="26" t="str">
        <f aca="false">IF(A9="","",N(Deals!M9)-R9-S9)</f>
        <v/>
      </c>
      <c r="U9" s="26" t="str">
        <f aca="false">IF(A9="","",MIN(T9-FlipTarget,(T9-FlipMinAnnROI*M9/12*S9)/(1+FlipMinAnnROI*M9/12)))</f>
        <v/>
      </c>
      <c r="V9" s="26" t="str">
        <f aca="false">IF(A9="","",IF(N(Deals!S9)=0,MAX(0,(U9)/(1+BuyerPremium)),IF((U9)&gt;=(N(Deals!S9)+SheriffCostsFromBid)/(1-RTTPurchase)*(1+BuyerPremium),(U9)/(1+BuyerPremium),MAX(0,((U9)-N(Deals!S9)-SheriffCostsFromBid)/(BuyerPremium+RTTPurchase)))))</f>
        <v/>
      </c>
      <c r="W9" s="26" t="str">
        <f aca="false">IF(A9="","",((V9)*(1+BuyerPremium)+IF(N(Deals!S9)=0,0,MIN(N(Deals!S9),MAX(0,N(Deals!S9)+SheriffCostsFromBid-(V9)*(1-RTTPurchase)))))+S9)</f>
        <v/>
      </c>
      <c r="X9" s="26" t="str">
        <f aca="false">IF(A9="","",T9-((V9)*(1+BuyerPremium)+IF(N(Deals!S9)=0,0,MIN(N(Deals!S9),MAX(0,N(Deals!S9)+SheriffCostsFromBid-(V9)*(1-RTTPurchase))))))</f>
        <v/>
      </c>
      <c r="Y9" s="27" t="str">
        <f aca="false">IF(A9="","",IFERROR(X9/W9/(M9/12),0))</f>
        <v/>
      </c>
      <c r="Z9" s="26" t="str">
        <f aca="false">IF(A9="","",N(Deals!N9)*12*(1-Vacancy)*(1-MgmtPct-MaintPct-CapexPct)-N(Deals!M9)*TaxRate-MAX(1,N(Deals!J9))*(InsPerUnit+WaterPerUnit)-N(Deals!T9)*12)</f>
        <v/>
      </c>
      <c r="AA9" s="26" t="str">
        <f aca="false">IF(A9="","",Q9+O9+P9*N9)</f>
        <v/>
      </c>
      <c r="AB9" s="26" t="str">
        <f aca="false">IF(A9="","",MAX(0,MIN(RefiLTV*N(Deals!M9),Z9/(RefiDSCR*12*PMT(RefiRate/12,RefiTerm*12,-1)))))</f>
        <v/>
      </c>
      <c r="AC9" s="26" t="str">
        <f aca="false">IF(A9="","",Z9-AB9*12*PMT(RefiRate/12,RefiTerm*12,-1))</f>
        <v/>
      </c>
      <c r="AD9" s="26" t="str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/>
      </c>
      <c r="AE9" s="26" t="str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/>
      </c>
      <c r="AF9" s="26" t="str">
        <f aca="false">IF(A9="","",IF(HoldMeasure="Cash-on-cash",AE9,AD9))</f>
        <v/>
      </c>
      <c r="AG9" s="26" t="str">
        <f aca="false">IF(A9="","",((AF9)*(1+BuyerPremium)+IF(N(Deals!S9)=0,0,MIN(N(Deals!S9),MAX(0,N(Deals!S9)+SheriffCostsFromBid-(AF9)*(1-RTTPurchase)))))+AA9)</f>
        <v/>
      </c>
      <c r="AH9" s="27" t="str">
        <f aca="false">IF(A9="","",IFERROR(Z9/AG9,0))</f>
        <v/>
      </c>
      <c r="AI9" s="26" t="str">
        <f aca="false">IF(A9="","",AG9-AB9*(1-RefiCostPct))</f>
        <v/>
      </c>
      <c r="AJ9" s="27" t="str">
        <f aca="false">IF(A9="","",IF(AI9&lt;=0,"All cash out",AC9/AI9))</f>
        <v/>
      </c>
      <c r="AK9" s="26" t="str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/>
      </c>
      <c r="AL9" s="26" t="str">
        <f aca="false">IF(OR(A9="",N(Deals!U9)=0),"",Deals!U9*N(Deals!W9))</f>
        <v/>
      </c>
      <c r="AM9" s="26" t="str">
        <f aca="false">IF(AL9="","",DemoCost+N(Deals!V9)*BuildCostPSF*(1+SoftCostPct)+P9*(DeedMonths+K9*EjectMonths+BuildMonths+SellMonths)+Q9+AL9*(BrokerPct+SellerRTT+SellClosingPct+ConcessionsPct))</f>
        <v/>
      </c>
      <c r="AN9" s="26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15" hidden="false" customHeight="false" outlineLevel="0" collapsed="false">
      <c r="A10" s="22" t="str">
        <f aca="false">IF(Deals!A10="","",Deals!A10)</f>
        <v/>
      </c>
      <c r="B10" s="0" t="str">
        <f aca="false">IF(A10="","",Deals!B10)</f>
        <v/>
      </c>
      <c r="C10" s="21" t="str">
        <f aca="false">IF(A10="","",IF(MAX(V10,AF10)&lt;=0,"Pass",IF(V10&gt;=AF10,"Flip","Value-add hold")))</f>
        <v/>
      </c>
      <c r="D10" s="23" t="str">
        <f aca="false">IF(A10="","",MAX(V10,AF10))</f>
        <v/>
      </c>
      <c r="E10" s="24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/>
      </c>
      <c r="F10" s="23" t="str">
        <f aca="false">IF(A10="","",IF(C10="Flip",W10,IF(C10="Value-add hold",AG10,0)))</f>
        <v/>
      </c>
      <c r="G10" s="24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/>
      </c>
      <c r="H10" s="21" t="str">
        <f aca="false">IF(A10="","",IF(C10="Flip",IF(W10&lt;=FlipCeiling,"In $300k flip box","Over flip ceiling: needs to be exceptional"),IF(C10="Value-add hold","Value-add","")))</f>
        <v/>
      </c>
      <c r="I10" s="24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4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2" t="str">
        <f aca="false">IF(A10="","",IF(OR(Deals!Q10="Occupied",AND(Deals!Q10&lt;&gt;"Vacant",UnknownAsOccupied="Y")),1,0))</f>
        <v/>
      </c>
      <c r="L10" s="25" t="str">
        <f aca="false">IF(A10="","",IFERROR(INDEX(ScopeMonths,MATCH(Deals!O10,ScopeNames,0)),INDEX(ScopeMonths,3)))</f>
        <v/>
      </c>
      <c r="M10" s="25" t="str">
        <f aca="false">IF(A10="","",DeedMonths+K10*EjectMonths+L10+SellMonths)</f>
        <v/>
      </c>
      <c r="N10" s="25" t="str">
        <f aca="false">IF(A10="","",DeedMonths+K10*EjectMonths+L10+LeaseUpMonths)</f>
        <v/>
      </c>
      <c r="O10" s="26" t="str">
        <f aca="false">IF(A10="","",N(Deals!G10)*IFERROR(INDEX(ScopePSF,MATCH(Deals!O10,ScopeNames,0)),INDEX(ScopePSF,3))*(1+Contingency)+BlindAllowance+N(Deals!P10))</f>
        <v/>
      </c>
      <c r="P10" s="26" t="str">
        <f aca="false">IF(A10="","",IF(N(Deals!K10)&gt;0,Deals!K10,N(Deals!M10))*TaxRate/12+VacantInsMo+SecuringMo+UtilitiesMo+N(Deals!T10))</f>
        <v/>
      </c>
      <c r="Q10" s="26" t="str">
        <f aca="false">IF(A10="","",SheriffFees+PurchaseTitle+CompelDeedLegal+K10*PossessionCost+N(Deals!R10)+N(Deals!T10)*HOAArrearsMonths)</f>
        <v/>
      </c>
      <c r="R10" s="26" t="str">
        <f aca="false">IF(A10="","",N(Deals!M10)*(BrokerPct+SellerRTT+SellClosingPct+ConcessionsPct))</f>
        <v/>
      </c>
      <c r="S10" s="26" t="str">
        <f aca="false">IF(A10="","",Q10+O10+P10*M10)</f>
        <v/>
      </c>
      <c r="T10" s="26" t="str">
        <f aca="false">IF(A10="","",N(Deals!M10)-R10-S10)</f>
        <v/>
      </c>
      <c r="U10" s="26" t="str">
        <f aca="false">IF(A10="","",MIN(T10-FlipTarget,(T10-FlipMinAnnROI*M10/12*S10)/(1+FlipMinAnnROI*M10/12)))</f>
        <v/>
      </c>
      <c r="V10" s="26" t="str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/>
      </c>
      <c r="W10" s="26" t="str">
        <f aca="false">IF(A10="","",((V10)*(1+BuyerPremium)+IF(N(Deals!S10)=0,0,MIN(N(Deals!S10),MAX(0,N(Deals!S10)+SheriffCostsFromBid-(V10)*(1-RTTPurchase)))))+S10)</f>
        <v/>
      </c>
      <c r="X10" s="26" t="str">
        <f aca="false">IF(A10="","",T10-((V10)*(1+BuyerPremium)+IF(N(Deals!S10)=0,0,MIN(N(Deals!S10),MAX(0,N(Deals!S10)+SheriffCostsFromBid-(V10)*(1-RTTPurchase))))))</f>
        <v/>
      </c>
      <c r="Y10" s="27" t="str">
        <f aca="false">IF(A10="","",IFERROR(X10/W10/(M10/12),0))</f>
        <v/>
      </c>
      <c r="Z10" s="26" t="str">
        <f aca="false">IF(A10="","",N(Deals!N10)*12*(1-Vacancy)*(1-MgmtPct-MaintPct-CapexPct)-N(Deals!M10)*TaxRate-MAX(1,N(Deals!J10))*(InsPerUnit+WaterPerUnit)-N(Deals!T10)*12)</f>
        <v/>
      </c>
      <c r="AA10" s="26" t="str">
        <f aca="false">IF(A10="","",Q10+O10+P10*N10)</f>
        <v/>
      </c>
      <c r="AB10" s="26" t="str">
        <f aca="false">IF(A10="","",MAX(0,MIN(RefiLTV*N(Deals!M10),Z10/(RefiDSCR*12*PMT(RefiRate/12,RefiTerm*12,-1)))))</f>
        <v/>
      </c>
      <c r="AC10" s="26" t="str">
        <f aca="false">IF(A10="","",Z10-AB10*12*PMT(RefiRate/12,RefiTerm*12,-1))</f>
        <v/>
      </c>
      <c r="AD10" s="26" t="str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/>
      </c>
      <c r="AE10" s="26" t="str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/>
      </c>
      <c r="AF10" s="26" t="str">
        <f aca="false">IF(A10="","",IF(HoldMeasure="Cash-on-cash",AE10,AD10))</f>
        <v/>
      </c>
      <c r="AG10" s="26" t="str">
        <f aca="false">IF(A10="","",((AF10)*(1+BuyerPremium)+IF(N(Deals!S10)=0,0,MIN(N(Deals!S10),MAX(0,N(Deals!S10)+SheriffCostsFromBid-(AF10)*(1-RTTPurchase)))))+AA10)</f>
        <v/>
      </c>
      <c r="AH10" s="27" t="str">
        <f aca="false">IF(A10="","",IFERROR(Z10/AG10,0))</f>
        <v/>
      </c>
      <c r="AI10" s="26" t="str">
        <f aca="false">IF(A10="","",AG10-AB10*(1-RefiCostPct))</f>
        <v/>
      </c>
      <c r="AJ10" s="27" t="str">
        <f aca="false">IF(A10="","",IF(AI10&lt;=0,"All cash out",AC10/AI10))</f>
        <v/>
      </c>
      <c r="AK10" s="26" t="str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/>
      </c>
      <c r="AL10" s="26" t="str">
        <f aca="false">IF(OR(A10="",N(Deals!U10)=0),"",Deals!U10*N(Deals!W10))</f>
        <v/>
      </c>
      <c r="AM10" s="26" t="str">
        <f aca="false">IF(AL10="","",DemoCost+N(Deals!V10)*BuildCostPSF*(1+SoftCostPct)+P10*(DeedMonths+K10*EjectMonths+BuildMonths+SellMonths)+Q10+AL10*(BrokerPct+SellerRTT+SellClosingPct+ConcessionsPct))</f>
        <v/>
      </c>
      <c r="AN10" s="26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false" outlineLevel="0" collapsed="false">
      <c r="A11" s="22" t="str">
        <f aca="false">IF(Deals!A11="","",Deals!A11)</f>
        <v/>
      </c>
      <c r="B11" s="0" t="str">
        <f aca="false">IF(A11="","",Deals!B11)</f>
        <v/>
      </c>
      <c r="C11" s="21" t="str">
        <f aca="false">IF(A11="","",IF(MAX(V11,AF11)&lt;=0,"Pass",IF(V11&gt;=AF11,"Flip","Value-add hold")))</f>
        <v/>
      </c>
      <c r="D11" s="23" t="str">
        <f aca="false">IF(A11="","",MAX(V11,AF11))</f>
        <v/>
      </c>
      <c r="E11" s="24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3" t="str">
        <f aca="false">IF(A11="","",IF(C11="Flip",W11,IF(C11="Value-add hold",AG11,0)))</f>
        <v/>
      </c>
      <c r="G11" s="24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1" t="str">
        <f aca="false">IF(A11="","",IF(C11="Flip",IF(W11&lt;=FlipCeiling,"In $300k flip box","Over flip ceiling: needs to be exceptional"),IF(C11="Value-add hold","Value-add","")))</f>
        <v/>
      </c>
      <c r="I11" s="24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4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2" t="str">
        <f aca="false">IF(A11="","",IF(OR(Deals!Q11="Occupied",AND(Deals!Q11&lt;&gt;"Vacant",UnknownAsOccupied="Y")),1,0))</f>
        <v/>
      </c>
      <c r="L11" s="25" t="str">
        <f aca="false">IF(A11="","",IFERROR(INDEX(ScopeMonths,MATCH(Deals!O11,ScopeNames,0)),INDEX(ScopeMonths,3)))</f>
        <v/>
      </c>
      <c r="M11" s="25" t="str">
        <f aca="false">IF(A11="","",DeedMonths+K11*EjectMonths+L11+SellMonths)</f>
        <v/>
      </c>
      <c r="N11" s="25" t="str">
        <f aca="false">IF(A11="","",DeedMonths+K11*EjectMonths+L11+LeaseUpMonths)</f>
        <v/>
      </c>
      <c r="O11" s="26" t="str">
        <f aca="false">IF(A11="","",N(Deals!G11)*IFERROR(INDEX(ScopePSF,MATCH(Deals!O11,ScopeNames,0)),INDEX(ScopePSF,3))*(1+Contingency)+BlindAllowance+N(Deals!P11))</f>
        <v/>
      </c>
      <c r="P11" s="26" t="str">
        <f aca="false">IF(A11="","",IF(N(Deals!K11)&gt;0,Deals!K11,N(Deals!M11))*TaxRate/12+VacantInsMo+SecuringMo+UtilitiesMo+N(Deals!T11))</f>
        <v/>
      </c>
      <c r="Q11" s="26" t="str">
        <f aca="false">IF(A11="","",SheriffFees+PurchaseTitle+CompelDeedLegal+K11*PossessionCost+N(Deals!R11)+N(Deals!T11)*HOAArrearsMonths)</f>
        <v/>
      </c>
      <c r="R11" s="26" t="str">
        <f aca="false">IF(A11="","",N(Deals!M11)*(BrokerPct+SellerRTT+SellClosingPct+ConcessionsPct))</f>
        <v/>
      </c>
      <c r="S11" s="26" t="str">
        <f aca="false">IF(A11="","",Q11+O11+P11*M11)</f>
        <v/>
      </c>
      <c r="T11" s="26" t="str">
        <f aca="false">IF(A11="","",N(Deals!M11)-R11-S11)</f>
        <v/>
      </c>
      <c r="U11" s="26" t="str">
        <f aca="false">IF(A11="","",MIN(T11-FlipTarget,(T11-FlipMinAnnROI*M11/12*S11)/(1+FlipMinAnnROI*M11/12)))</f>
        <v/>
      </c>
      <c r="V11" s="26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26" t="str">
        <f aca="false">IF(A11="","",((V11)*(1+BuyerPremium)+IF(N(Deals!S11)=0,0,MIN(N(Deals!S11),MAX(0,N(Deals!S11)+SheriffCostsFromBid-(V11)*(1-RTTPurchase)))))+S11)</f>
        <v/>
      </c>
      <c r="X11" s="26" t="str">
        <f aca="false">IF(A11="","",T11-((V11)*(1+BuyerPremium)+IF(N(Deals!S11)=0,0,MIN(N(Deals!S11),MAX(0,N(Deals!S11)+SheriffCostsFromBid-(V11)*(1-RTTPurchase))))))</f>
        <v/>
      </c>
      <c r="Y11" s="27" t="str">
        <f aca="false">IF(A11="","",IFERROR(X11/W11/(M11/12),0))</f>
        <v/>
      </c>
      <c r="Z11" s="26" t="str">
        <f aca="false">IF(A11="","",N(Deals!N11)*12*(1-Vacancy)*(1-MgmtPct-MaintPct-CapexPct)-N(Deals!M11)*TaxRate-MAX(1,N(Deals!J11))*(InsPerUnit+WaterPerUnit)-N(Deals!T11)*12)</f>
        <v/>
      </c>
      <c r="AA11" s="26" t="str">
        <f aca="false">IF(A11="","",Q11+O11+P11*N11)</f>
        <v/>
      </c>
      <c r="AB11" s="26" t="str">
        <f aca="false">IF(A11="","",MAX(0,MIN(RefiLTV*N(Deals!M11),Z11/(RefiDSCR*12*PMT(RefiRate/12,RefiTerm*12,-1)))))</f>
        <v/>
      </c>
      <c r="AC11" s="26" t="str">
        <f aca="false">IF(A11="","",Z11-AB11*12*PMT(RefiRate/12,RefiTerm*12,-1))</f>
        <v/>
      </c>
      <c r="AD11" s="26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26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26" t="str">
        <f aca="false">IF(A11="","",IF(HoldMeasure="Cash-on-cash",AE11,AD11))</f>
        <v/>
      </c>
      <c r="AG11" s="26" t="str">
        <f aca="false">IF(A11="","",((AF11)*(1+BuyerPremium)+IF(N(Deals!S11)=0,0,MIN(N(Deals!S11),MAX(0,N(Deals!S11)+SheriffCostsFromBid-(AF11)*(1-RTTPurchase)))))+AA11)</f>
        <v/>
      </c>
      <c r="AH11" s="27" t="str">
        <f aca="false">IF(A11="","",IFERROR(Z11/AG11,0))</f>
        <v/>
      </c>
      <c r="AI11" s="26" t="str">
        <f aca="false">IF(A11="","",AG11-AB11*(1-RefiCostPct))</f>
        <v/>
      </c>
      <c r="AJ11" s="27" t="str">
        <f aca="false">IF(A11="","",IF(AI11&lt;=0,"All cash out",AC11/AI11))</f>
        <v/>
      </c>
      <c r="AK11" s="26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26" t="str">
        <f aca="false">IF(OR(A11="",N(Deals!U11)=0),"",Deals!U11*N(Deals!W11))</f>
        <v/>
      </c>
      <c r="AM11" s="26" t="str">
        <f aca="false">IF(AL11="","",DemoCost+N(Deals!V11)*BuildCostPSF*(1+SoftCostPct)+P11*(DeedMonths+K11*EjectMonths+BuildMonths+SellMonths)+Q11+AL11*(BrokerPct+SellerRTT+SellClosingPct+ConcessionsPct))</f>
        <v/>
      </c>
      <c r="AN11" s="26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false" outlineLevel="0" collapsed="false">
      <c r="A12" s="22" t="str">
        <f aca="false">IF(Deals!A12="","",Deals!A12)</f>
        <v/>
      </c>
      <c r="B12" s="0" t="str">
        <f aca="false">IF(A12="","",Deals!B12)</f>
        <v/>
      </c>
      <c r="C12" s="21" t="str">
        <f aca="false">IF(A12="","",IF(MAX(V12,AF12)&lt;=0,"Pass",IF(V12&gt;=AF12,"Flip","Value-add hold")))</f>
        <v/>
      </c>
      <c r="D12" s="23" t="str">
        <f aca="false">IF(A12="","",MAX(V12,AF12))</f>
        <v/>
      </c>
      <c r="E12" s="24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3" t="str">
        <f aca="false">IF(A12="","",IF(C12="Flip",W12,IF(C12="Value-add hold",AG12,0)))</f>
        <v/>
      </c>
      <c r="G12" s="24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1" t="str">
        <f aca="false">IF(A12="","",IF(C12="Flip",IF(W12&lt;=FlipCeiling,"In $300k flip box","Over flip ceiling: needs to be exceptional"),IF(C12="Value-add hold","Value-add","")))</f>
        <v/>
      </c>
      <c r="I12" s="24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4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2" t="str">
        <f aca="false">IF(A12="","",IF(OR(Deals!Q12="Occupied",AND(Deals!Q12&lt;&gt;"Vacant",UnknownAsOccupied="Y")),1,0))</f>
        <v/>
      </c>
      <c r="L12" s="25" t="str">
        <f aca="false">IF(A12="","",IFERROR(INDEX(ScopeMonths,MATCH(Deals!O12,ScopeNames,0)),INDEX(ScopeMonths,3)))</f>
        <v/>
      </c>
      <c r="M12" s="25" t="str">
        <f aca="false">IF(A12="","",DeedMonths+K12*EjectMonths+L12+SellMonths)</f>
        <v/>
      </c>
      <c r="N12" s="25" t="str">
        <f aca="false">IF(A12="","",DeedMonths+K12*EjectMonths+L12+LeaseUpMonths)</f>
        <v/>
      </c>
      <c r="O12" s="26" t="str">
        <f aca="false">IF(A12="","",N(Deals!G12)*IFERROR(INDEX(ScopePSF,MATCH(Deals!O12,ScopeNames,0)),INDEX(ScopePSF,3))*(1+Contingency)+BlindAllowance+N(Deals!P12))</f>
        <v/>
      </c>
      <c r="P12" s="26" t="str">
        <f aca="false">IF(A12="","",IF(N(Deals!K12)&gt;0,Deals!K12,N(Deals!M12))*TaxRate/12+VacantInsMo+SecuringMo+UtilitiesMo+N(Deals!T12))</f>
        <v/>
      </c>
      <c r="Q12" s="26" t="str">
        <f aca="false">IF(A12="","",SheriffFees+PurchaseTitle+CompelDeedLegal+K12*PossessionCost+N(Deals!R12)+N(Deals!T12)*HOAArrearsMonths)</f>
        <v/>
      </c>
      <c r="R12" s="26" t="str">
        <f aca="false">IF(A12="","",N(Deals!M12)*(BrokerPct+SellerRTT+SellClosingPct+ConcessionsPct))</f>
        <v/>
      </c>
      <c r="S12" s="26" t="str">
        <f aca="false">IF(A12="","",Q12+O12+P12*M12)</f>
        <v/>
      </c>
      <c r="T12" s="26" t="str">
        <f aca="false">IF(A12="","",N(Deals!M12)-R12-S12)</f>
        <v/>
      </c>
      <c r="U12" s="26" t="str">
        <f aca="false">IF(A12="","",MIN(T12-FlipTarget,(T12-FlipMinAnnROI*M12/12*S12)/(1+FlipMinAnnROI*M12/12)))</f>
        <v/>
      </c>
      <c r="V12" s="26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26" t="str">
        <f aca="false">IF(A12="","",((V12)*(1+BuyerPremium)+IF(N(Deals!S12)=0,0,MIN(N(Deals!S12),MAX(0,N(Deals!S12)+SheriffCostsFromBid-(V12)*(1-RTTPurchase)))))+S12)</f>
        <v/>
      </c>
      <c r="X12" s="26" t="str">
        <f aca="false">IF(A12="","",T12-((V12)*(1+BuyerPremium)+IF(N(Deals!S12)=0,0,MIN(N(Deals!S12),MAX(0,N(Deals!S12)+SheriffCostsFromBid-(V12)*(1-RTTPurchase))))))</f>
        <v/>
      </c>
      <c r="Y12" s="27" t="str">
        <f aca="false">IF(A12="","",IFERROR(X12/W12/(M12/12),0))</f>
        <v/>
      </c>
      <c r="Z12" s="26" t="str">
        <f aca="false">IF(A12="","",N(Deals!N12)*12*(1-Vacancy)*(1-MgmtPct-MaintPct-CapexPct)-N(Deals!M12)*TaxRate-MAX(1,N(Deals!J12))*(InsPerUnit+WaterPerUnit)-N(Deals!T12)*12)</f>
        <v/>
      </c>
      <c r="AA12" s="26" t="str">
        <f aca="false">IF(A12="","",Q12+O12+P12*N12)</f>
        <v/>
      </c>
      <c r="AB12" s="26" t="str">
        <f aca="false">IF(A12="","",MAX(0,MIN(RefiLTV*N(Deals!M12),Z12/(RefiDSCR*12*PMT(RefiRate/12,RefiTerm*12,-1)))))</f>
        <v/>
      </c>
      <c r="AC12" s="26" t="str">
        <f aca="false">IF(A12="","",Z12-AB12*12*PMT(RefiRate/12,RefiTerm*12,-1))</f>
        <v/>
      </c>
      <c r="AD12" s="26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26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26" t="str">
        <f aca="false">IF(A12="","",IF(HoldMeasure="Cash-on-cash",AE12,AD12))</f>
        <v/>
      </c>
      <c r="AG12" s="26" t="str">
        <f aca="false">IF(A12="","",((AF12)*(1+BuyerPremium)+IF(N(Deals!S12)=0,0,MIN(N(Deals!S12),MAX(0,N(Deals!S12)+SheriffCostsFromBid-(AF12)*(1-RTTPurchase)))))+AA12)</f>
        <v/>
      </c>
      <c r="AH12" s="27" t="str">
        <f aca="false">IF(A12="","",IFERROR(Z12/AG12,0))</f>
        <v/>
      </c>
      <c r="AI12" s="26" t="str">
        <f aca="false">IF(A12="","",AG12-AB12*(1-RefiCostPct))</f>
        <v/>
      </c>
      <c r="AJ12" s="27" t="str">
        <f aca="false">IF(A12="","",IF(AI12&lt;=0,"All cash out",AC12/AI12))</f>
        <v/>
      </c>
      <c r="AK12" s="26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26" t="str">
        <f aca="false">IF(OR(A12="",N(Deals!U12)=0),"",Deals!U12*N(Deals!W12))</f>
        <v/>
      </c>
      <c r="AM12" s="26" t="str">
        <f aca="false">IF(AL12="","",DemoCost+N(Deals!V12)*BuildCostPSF*(1+SoftCostPct)+P12*(DeedMonths+K12*EjectMonths+BuildMonths+SellMonths)+Q12+AL12*(BrokerPct+SellerRTT+SellClosingPct+ConcessionsPct))</f>
        <v/>
      </c>
      <c r="AN12" s="26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false" outlineLevel="0" collapsed="false">
      <c r="A13" s="22" t="str">
        <f aca="false">IF(Deals!A13="","",Deals!A13)</f>
        <v/>
      </c>
      <c r="B13" s="0" t="str">
        <f aca="false">IF(A13="","",Deals!B13)</f>
        <v/>
      </c>
      <c r="C13" s="21" t="str">
        <f aca="false">IF(A13="","",IF(MAX(V13,AF13)&lt;=0,"Pass",IF(V13&gt;=AF13,"Flip","Value-add hold")))</f>
        <v/>
      </c>
      <c r="D13" s="23" t="str">
        <f aca="false">IF(A13="","",MAX(V13,AF13))</f>
        <v/>
      </c>
      <c r="E13" s="24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3" t="str">
        <f aca="false">IF(A13="","",IF(C13="Flip",W13,IF(C13="Value-add hold",AG13,0)))</f>
        <v/>
      </c>
      <c r="G13" s="24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1" t="str">
        <f aca="false">IF(A13="","",IF(C13="Flip",IF(W13&lt;=FlipCeiling,"In $300k flip box","Over flip ceiling: needs to be exceptional"),IF(C13="Value-add hold","Value-add","")))</f>
        <v/>
      </c>
      <c r="I13" s="24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4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2" t="str">
        <f aca="false">IF(A13="","",IF(OR(Deals!Q13="Occupied",AND(Deals!Q13&lt;&gt;"Vacant",UnknownAsOccupied="Y")),1,0))</f>
        <v/>
      </c>
      <c r="L13" s="25" t="str">
        <f aca="false">IF(A13="","",IFERROR(INDEX(ScopeMonths,MATCH(Deals!O13,ScopeNames,0)),INDEX(ScopeMonths,3)))</f>
        <v/>
      </c>
      <c r="M13" s="25" t="str">
        <f aca="false">IF(A13="","",DeedMonths+K13*EjectMonths+L13+SellMonths)</f>
        <v/>
      </c>
      <c r="N13" s="25" t="str">
        <f aca="false">IF(A13="","",DeedMonths+K13*EjectMonths+L13+LeaseUpMonths)</f>
        <v/>
      </c>
      <c r="O13" s="26" t="str">
        <f aca="false">IF(A13="","",N(Deals!G13)*IFERROR(INDEX(ScopePSF,MATCH(Deals!O13,ScopeNames,0)),INDEX(ScopePSF,3))*(1+Contingency)+BlindAllowance+N(Deals!P13))</f>
        <v/>
      </c>
      <c r="P13" s="26" t="str">
        <f aca="false">IF(A13="","",IF(N(Deals!K13)&gt;0,Deals!K13,N(Deals!M13))*TaxRate/12+VacantInsMo+SecuringMo+UtilitiesMo+N(Deals!T13))</f>
        <v/>
      </c>
      <c r="Q13" s="26" t="str">
        <f aca="false">IF(A13="","",SheriffFees+PurchaseTitle+CompelDeedLegal+K13*PossessionCost+N(Deals!R13)+N(Deals!T13)*HOAArrearsMonths)</f>
        <v/>
      </c>
      <c r="R13" s="26" t="str">
        <f aca="false">IF(A13="","",N(Deals!M13)*(BrokerPct+SellerRTT+SellClosingPct+ConcessionsPct))</f>
        <v/>
      </c>
      <c r="S13" s="26" t="str">
        <f aca="false">IF(A13="","",Q13+O13+P13*M13)</f>
        <v/>
      </c>
      <c r="T13" s="26" t="str">
        <f aca="false">IF(A13="","",N(Deals!M13)-R13-S13)</f>
        <v/>
      </c>
      <c r="U13" s="26" t="str">
        <f aca="false">IF(A13="","",MIN(T13-FlipTarget,(T13-FlipMinAnnROI*M13/12*S13)/(1+FlipMinAnnROI*M13/12)))</f>
        <v/>
      </c>
      <c r="V13" s="26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26" t="str">
        <f aca="false">IF(A13="","",((V13)*(1+BuyerPremium)+IF(N(Deals!S13)=0,0,MIN(N(Deals!S13),MAX(0,N(Deals!S13)+SheriffCostsFromBid-(V13)*(1-RTTPurchase)))))+S13)</f>
        <v/>
      </c>
      <c r="X13" s="26" t="str">
        <f aca="false">IF(A13="","",T13-((V13)*(1+BuyerPremium)+IF(N(Deals!S13)=0,0,MIN(N(Deals!S13),MAX(0,N(Deals!S13)+SheriffCostsFromBid-(V13)*(1-RTTPurchase))))))</f>
        <v/>
      </c>
      <c r="Y13" s="27" t="str">
        <f aca="false">IF(A13="","",IFERROR(X13/W13/(M13/12),0))</f>
        <v/>
      </c>
      <c r="Z13" s="26" t="str">
        <f aca="false">IF(A13="","",N(Deals!N13)*12*(1-Vacancy)*(1-MgmtPct-MaintPct-CapexPct)-N(Deals!M13)*TaxRate-MAX(1,N(Deals!J13))*(InsPerUnit+WaterPerUnit)-N(Deals!T13)*12)</f>
        <v/>
      </c>
      <c r="AA13" s="26" t="str">
        <f aca="false">IF(A13="","",Q13+O13+P13*N13)</f>
        <v/>
      </c>
      <c r="AB13" s="26" t="str">
        <f aca="false">IF(A13="","",MAX(0,MIN(RefiLTV*N(Deals!M13),Z13/(RefiDSCR*12*PMT(RefiRate/12,RefiTerm*12,-1)))))</f>
        <v/>
      </c>
      <c r="AC13" s="26" t="str">
        <f aca="false">IF(A13="","",Z13-AB13*12*PMT(RefiRate/12,RefiTerm*12,-1))</f>
        <v/>
      </c>
      <c r="AD13" s="26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26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26" t="str">
        <f aca="false">IF(A13="","",IF(HoldMeasure="Cash-on-cash",AE13,AD13))</f>
        <v/>
      </c>
      <c r="AG13" s="26" t="str">
        <f aca="false">IF(A13="","",((AF13)*(1+BuyerPremium)+IF(N(Deals!S13)=0,0,MIN(N(Deals!S13),MAX(0,N(Deals!S13)+SheriffCostsFromBid-(AF13)*(1-RTTPurchase)))))+AA13)</f>
        <v/>
      </c>
      <c r="AH13" s="27" t="str">
        <f aca="false">IF(A13="","",IFERROR(Z13/AG13,0))</f>
        <v/>
      </c>
      <c r="AI13" s="26" t="str">
        <f aca="false">IF(A13="","",AG13-AB13*(1-RefiCostPct))</f>
        <v/>
      </c>
      <c r="AJ13" s="27" t="str">
        <f aca="false">IF(A13="","",IF(AI13&lt;=0,"All cash out",AC13/AI13))</f>
        <v/>
      </c>
      <c r="AK13" s="26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26" t="str">
        <f aca="false">IF(OR(A13="",N(Deals!U13)=0),"",Deals!U13*N(Deals!W13))</f>
        <v/>
      </c>
      <c r="AM13" s="26" t="str">
        <f aca="false">IF(AL13="","",DemoCost+N(Deals!V13)*BuildCostPSF*(1+SoftCostPct)+P13*(DeedMonths+K13*EjectMonths+BuildMonths+SellMonths)+Q13+AL13*(BrokerPct+SellerRTT+SellClosingPct+ConcessionsPct))</f>
        <v/>
      </c>
      <c r="AN13" s="26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false" outlineLevel="0" collapsed="false">
      <c r="A14" s="22" t="str">
        <f aca="false">IF(Deals!A14="","",Deals!A14)</f>
        <v/>
      </c>
      <c r="B14" s="0" t="str">
        <f aca="false">IF(A14="","",Deals!B14)</f>
        <v/>
      </c>
      <c r="C14" s="21" t="str">
        <f aca="false">IF(A14="","",IF(MAX(V14,AF14)&lt;=0,"Pass",IF(V14&gt;=AF14,"Flip","Value-add hold")))</f>
        <v/>
      </c>
      <c r="D14" s="23" t="str">
        <f aca="false">IF(A14="","",MAX(V14,AF14))</f>
        <v/>
      </c>
      <c r="E14" s="24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3" t="str">
        <f aca="false">IF(A14="","",IF(C14="Flip",W14,IF(C14="Value-add hold",AG14,0)))</f>
        <v/>
      </c>
      <c r="G14" s="24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1" t="str">
        <f aca="false">IF(A14="","",IF(C14="Flip",IF(W14&lt;=FlipCeiling,"In $300k flip box","Over flip ceiling: needs to be exceptional"),IF(C14="Value-add hold","Value-add","")))</f>
        <v/>
      </c>
      <c r="I14" s="24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4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2" t="str">
        <f aca="false">IF(A14="","",IF(OR(Deals!Q14="Occupied",AND(Deals!Q14&lt;&gt;"Vacant",UnknownAsOccupied="Y")),1,0))</f>
        <v/>
      </c>
      <c r="L14" s="25" t="str">
        <f aca="false">IF(A14="","",IFERROR(INDEX(ScopeMonths,MATCH(Deals!O14,ScopeNames,0)),INDEX(ScopeMonths,3)))</f>
        <v/>
      </c>
      <c r="M14" s="25" t="str">
        <f aca="false">IF(A14="","",DeedMonths+K14*EjectMonths+L14+SellMonths)</f>
        <v/>
      </c>
      <c r="N14" s="25" t="str">
        <f aca="false">IF(A14="","",DeedMonths+K14*EjectMonths+L14+LeaseUpMonths)</f>
        <v/>
      </c>
      <c r="O14" s="26" t="str">
        <f aca="false">IF(A14="","",N(Deals!G14)*IFERROR(INDEX(ScopePSF,MATCH(Deals!O14,ScopeNames,0)),INDEX(ScopePSF,3))*(1+Contingency)+BlindAllowance+N(Deals!P14))</f>
        <v/>
      </c>
      <c r="P14" s="26" t="str">
        <f aca="false">IF(A14="","",IF(N(Deals!K14)&gt;0,Deals!K14,N(Deals!M14))*TaxRate/12+VacantInsMo+SecuringMo+UtilitiesMo+N(Deals!T14))</f>
        <v/>
      </c>
      <c r="Q14" s="26" t="str">
        <f aca="false">IF(A14="","",SheriffFees+PurchaseTitle+CompelDeedLegal+K14*PossessionCost+N(Deals!R14)+N(Deals!T14)*HOAArrearsMonths)</f>
        <v/>
      </c>
      <c r="R14" s="26" t="str">
        <f aca="false">IF(A14="","",N(Deals!M14)*(BrokerPct+SellerRTT+SellClosingPct+ConcessionsPct))</f>
        <v/>
      </c>
      <c r="S14" s="26" t="str">
        <f aca="false">IF(A14="","",Q14+O14+P14*M14)</f>
        <v/>
      </c>
      <c r="T14" s="26" t="str">
        <f aca="false">IF(A14="","",N(Deals!M14)-R14-S14)</f>
        <v/>
      </c>
      <c r="U14" s="26" t="str">
        <f aca="false">IF(A14="","",MIN(T14-FlipTarget,(T14-FlipMinAnnROI*M14/12*S14)/(1+FlipMinAnnROI*M14/12)))</f>
        <v/>
      </c>
      <c r="V14" s="26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26" t="str">
        <f aca="false">IF(A14="","",((V14)*(1+BuyerPremium)+IF(N(Deals!S14)=0,0,MIN(N(Deals!S14),MAX(0,N(Deals!S14)+SheriffCostsFromBid-(V14)*(1-RTTPurchase)))))+S14)</f>
        <v/>
      </c>
      <c r="X14" s="26" t="str">
        <f aca="false">IF(A14="","",T14-((V14)*(1+BuyerPremium)+IF(N(Deals!S14)=0,0,MIN(N(Deals!S14),MAX(0,N(Deals!S14)+SheriffCostsFromBid-(V14)*(1-RTTPurchase))))))</f>
        <v/>
      </c>
      <c r="Y14" s="27" t="str">
        <f aca="false">IF(A14="","",IFERROR(X14/W14/(M14/12),0))</f>
        <v/>
      </c>
      <c r="Z14" s="26" t="str">
        <f aca="false">IF(A14="","",N(Deals!N14)*12*(1-Vacancy)*(1-MgmtPct-MaintPct-CapexPct)-N(Deals!M14)*TaxRate-MAX(1,N(Deals!J14))*(InsPerUnit+WaterPerUnit)-N(Deals!T14)*12)</f>
        <v/>
      </c>
      <c r="AA14" s="26" t="str">
        <f aca="false">IF(A14="","",Q14+O14+P14*N14)</f>
        <v/>
      </c>
      <c r="AB14" s="26" t="str">
        <f aca="false">IF(A14="","",MAX(0,MIN(RefiLTV*N(Deals!M14),Z14/(RefiDSCR*12*PMT(RefiRate/12,RefiTerm*12,-1)))))</f>
        <v/>
      </c>
      <c r="AC14" s="26" t="str">
        <f aca="false">IF(A14="","",Z14-AB14*12*PMT(RefiRate/12,RefiTerm*12,-1))</f>
        <v/>
      </c>
      <c r="AD14" s="26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26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26" t="str">
        <f aca="false">IF(A14="","",IF(HoldMeasure="Cash-on-cash",AE14,AD14))</f>
        <v/>
      </c>
      <c r="AG14" s="26" t="str">
        <f aca="false">IF(A14="","",((AF14)*(1+BuyerPremium)+IF(N(Deals!S14)=0,0,MIN(N(Deals!S14),MAX(0,N(Deals!S14)+SheriffCostsFromBid-(AF14)*(1-RTTPurchase)))))+AA14)</f>
        <v/>
      </c>
      <c r="AH14" s="27" t="str">
        <f aca="false">IF(A14="","",IFERROR(Z14/AG14,0))</f>
        <v/>
      </c>
      <c r="AI14" s="26" t="str">
        <f aca="false">IF(A14="","",AG14-AB14*(1-RefiCostPct))</f>
        <v/>
      </c>
      <c r="AJ14" s="27" t="str">
        <f aca="false">IF(A14="","",IF(AI14&lt;=0,"All cash out",AC14/AI14))</f>
        <v/>
      </c>
      <c r="AK14" s="26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26" t="str">
        <f aca="false">IF(OR(A14="",N(Deals!U14)=0),"",Deals!U14*N(Deals!W14))</f>
        <v/>
      </c>
      <c r="AM14" s="26" t="str">
        <f aca="false">IF(AL14="","",DemoCost+N(Deals!V14)*BuildCostPSF*(1+SoftCostPct)+P14*(DeedMonths+K14*EjectMonths+BuildMonths+SellMonths)+Q14+AL14*(BrokerPct+SellerRTT+SellClosingPct+ConcessionsPct))</f>
        <v/>
      </c>
      <c r="AN14" s="26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false" outlineLevel="0" collapsed="false">
      <c r="A15" s="22" t="str">
        <f aca="false">IF(Deals!A15="","",Deals!A15)</f>
        <v/>
      </c>
      <c r="B15" s="0" t="str">
        <f aca="false">IF(A15="","",Deals!B15)</f>
        <v/>
      </c>
      <c r="C15" s="21" t="str">
        <f aca="false">IF(A15="","",IF(MAX(V15,AF15)&lt;=0,"Pass",IF(V15&gt;=AF15,"Flip","Value-add hold")))</f>
        <v/>
      </c>
      <c r="D15" s="23" t="str">
        <f aca="false">IF(A15="","",MAX(V15,AF15))</f>
        <v/>
      </c>
      <c r="E15" s="24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3" t="str">
        <f aca="false">IF(A15="","",IF(C15="Flip",W15,IF(C15="Value-add hold",AG15,0)))</f>
        <v/>
      </c>
      <c r="G15" s="24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1" t="str">
        <f aca="false">IF(A15="","",IF(C15="Flip",IF(W15&lt;=FlipCeiling,"In $300k flip box","Over flip ceiling: needs to be exceptional"),IF(C15="Value-add hold","Value-add","")))</f>
        <v/>
      </c>
      <c r="I15" s="24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4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2" t="str">
        <f aca="false">IF(A15="","",IF(OR(Deals!Q15="Occupied",AND(Deals!Q15&lt;&gt;"Vacant",UnknownAsOccupied="Y")),1,0))</f>
        <v/>
      </c>
      <c r="L15" s="25" t="str">
        <f aca="false">IF(A15="","",IFERROR(INDEX(ScopeMonths,MATCH(Deals!O15,ScopeNames,0)),INDEX(ScopeMonths,3)))</f>
        <v/>
      </c>
      <c r="M15" s="25" t="str">
        <f aca="false">IF(A15="","",DeedMonths+K15*EjectMonths+L15+SellMonths)</f>
        <v/>
      </c>
      <c r="N15" s="25" t="str">
        <f aca="false">IF(A15="","",DeedMonths+K15*EjectMonths+L15+LeaseUpMonths)</f>
        <v/>
      </c>
      <c r="O15" s="26" t="str">
        <f aca="false">IF(A15="","",N(Deals!G15)*IFERROR(INDEX(ScopePSF,MATCH(Deals!O15,ScopeNames,0)),INDEX(ScopePSF,3))*(1+Contingency)+BlindAllowance+N(Deals!P15))</f>
        <v/>
      </c>
      <c r="P15" s="26" t="str">
        <f aca="false">IF(A15="","",IF(N(Deals!K15)&gt;0,Deals!K15,N(Deals!M15))*TaxRate/12+VacantInsMo+SecuringMo+UtilitiesMo+N(Deals!T15))</f>
        <v/>
      </c>
      <c r="Q15" s="26" t="str">
        <f aca="false">IF(A15="","",SheriffFees+PurchaseTitle+CompelDeedLegal+K15*PossessionCost+N(Deals!R15)+N(Deals!T15)*HOAArrearsMonths)</f>
        <v/>
      </c>
      <c r="R15" s="26" t="str">
        <f aca="false">IF(A15="","",N(Deals!M15)*(BrokerPct+SellerRTT+SellClosingPct+ConcessionsPct))</f>
        <v/>
      </c>
      <c r="S15" s="26" t="str">
        <f aca="false">IF(A15="","",Q15+O15+P15*M15)</f>
        <v/>
      </c>
      <c r="T15" s="26" t="str">
        <f aca="false">IF(A15="","",N(Deals!M15)-R15-S15)</f>
        <v/>
      </c>
      <c r="U15" s="26" t="str">
        <f aca="false">IF(A15="","",MIN(T15-FlipTarget,(T15-FlipMinAnnROI*M15/12*S15)/(1+FlipMinAnnROI*M15/12)))</f>
        <v/>
      </c>
      <c r="V15" s="26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26" t="str">
        <f aca="false">IF(A15="","",((V15)*(1+BuyerPremium)+IF(N(Deals!S15)=0,0,MIN(N(Deals!S15),MAX(0,N(Deals!S15)+SheriffCostsFromBid-(V15)*(1-RTTPurchase)))))+S15)</f>
        <v/>
      </c>
      <c r="X15" s="26" t="str">
        <f aca="false">IF(A15="","",T15-((V15)*(1+BuyerPremium)+IF(N(Deals!S15)=0,0,MIN(N(Deals!S15),MAX(0,N(Deals!S15)+SheriffCostsFromBid-(V15)*(1-RTTPurchase))))))</f>
        <v/>
      </c>
      <c r="Y15" s="27" t="str">
        <f aca="false">IF(A15="","",IFERROR(X15/W15/(M15/12),0))</f>
        <v/>
      </c>
      <c r="Z15" s="26" t="str">
        <f aca="false">IF(A15="","",N(Deals!N15)*12*(1-Vacancy)*(1-MgmtPct-MaintPct-CapexPct)-N(Deals!M15)*TaxRate-MAX(1,N(Deals!J15))*(InsPerUnit+WaterPerUnit)-N(Deals!T15)*12)</f>
        <v/>
      </c>
      <c r="AA15" s="26" t="str">
        <f aca="false">IF(A15="","",Q15+O15+P15*N15)</f>
        <v/>
      </c>
      <c r="AB15" s="26" t="str">
        <f aca="false">IF(A15="","",MAX(0,MIN(RefiLTV*N(Deals!M15),Z15/(RefiDSCR*12*PMT(RefiRate/12,RefiTerm*12,-1)))))</f>
        <v/>
      </c>
      <c r="AC15" s="26" t="str">
        <f aca="false">IF(A15="","",Z15-AB15*12*PMT(RefiRate/12,RefiTerm*12,-1))</f>
        <v/>
      </c>
      <c r="AD15" s="26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26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26" t="str">
        <f aca="false">IF(A15="","",IF(HoldMeasure="Cash-on-cash",AE15,AD15))</f>
        <v/>
      </c>
      <c r="AG15" s="26" t="str">
        <f aca="false">IF(A15="","",((AF15)*(1+BuyerPremium)+IF(N(Deals!S15)=0,0,MIN(N(Deals!S15),MAX(0,N(Deals!S15)+SheriffCostsFromBid-(AF15)*(1-RTTPurchase)))))+AA15)</f>
        <v/>
      </c>
      <c r="AH15" s="27" t="str">
        <f aca="false">IF(A15="","",IFERROR(Z15/AG15,0))</f>
        <v/>
      </c>
      <c r="AI15" s="26" t="str">
        <f aca="false">IF(A15="","",AG15-AB15*(1-RefiCostPct))</f>
        <v/>
      </c>
      <c r="AJ15" s="27" t="str">
        <f aca="false">IF(A15="","",IF(AI15&lt;=0,"All cash out",AC15/AI15))</f>
        <v/>
      </c>
      <c r="AK15" s="26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26" t="str">
        <f aca="false">IF(OR(A15="",N(Deals!U15)=0),"",Deals!U15*N(Deals!W15))</f>
        <v/>
      </c>
      <c r="AM15" s="26" t="str">
        <f aca="false">IF(AL15="","",DemoCost+N(Deals!V15)*BuildCostPSF*(1+SoftCostPct)+P15*(DeedMonths+K15*EjectMonths+BuildMonths+SellMonths)+Q15+AL15*(BrokerPct+SellerRTT+SellClosingPct+ConcessionsPct))</f>
        <v/>
      </c>
      <c r="AN15" s="26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false" outlineLevel="0" collapsed="false">
      <c r="A16" s="22" t="str">
        <f aca="false">IF(Deals!A16="","",Deals!A16)</f>
        <v/>
      </c>
      <c r="B16" s="0" t="str">
        <f aca="false">IF(A16="","",Deals!B16)</f>
        <v/>
      </c>
      <c r="C16" s="21" t="str">
        <f aca="false">IF(A16="","",IF(MAX(V16,AF16)&lt;=0,"Pass",IF(V16&gt;=AF16,"Flip","Value-add hold")))</f>
        <v/>
      </c>
      <c r="D16" s="23" t="str">
        <f aca="false">IF(A16="","",MAX(V16,AF16))</f>
        <v/>
      </c>
      <c r="E16" s="24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3" t="str">
        <f aca="false">IF(A16="","",IF(C16="Flip",W16,IF(C16="Value-add hold",AG16,0)))</f>
        <v/>
      </c>
      <c r="G16" s="24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1" t="str">
        <f aca="false">IF(A16="","",IF(C16="Flip",IF(W16&lt;=FlipCeiling,"In $300k flip box","Over flip ceiling: needs to be exceptional"),IF(C16="Value-add hold","Value-add","")))</f>
        <v/>
      </c>
      <c r="I16" s="24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4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2" t="str">
        <f aca="false">IF(A16="","",IF(OR(Deals!Q16="Occupied",AND(Deals!Q16&lt;&gt;"Vacant",UnknownAsOccupied="Y")),1,0))</f>
        <v/>
      </c>
      <c r="L16" s="25" t="str">
        <f aca="false">IF(A16="","",IFERROR(INDEX(ScopeMonths,MATCH(Deals!O16,ScopeNames,0)),INDEX(ScopeMonths,3)))</f>
        <v/>
      </c>
      <c r="M16" s="25" t="str">
        <f aca="false">IF(A16="","",DeedMonths+K16*EjectMonths+L16+SellMonths)</f>
        <v/>
      </c>
      <c r="N16" s="25" t="str">
        <f aca="false">IF(A16="","",DeedMonths+K16*EjectMonths+L16+LeaseUpMonths)</f>
        <v/>
      </c>
      <c r="O16" s="26" t="str">
        <f aca="false">IF(A16="","",N(Deals!G16)*IFERROR(INDEX(ScopePSF,MATCH(Deals!O16,ScopeNames,0)),INDEX(ScopePSF,3))*(1+Contingency)+BlindAllowance+N(Deals!P16))</f>
        <v/>
      </c>
      <c r="P16" s="26" t="str">
        <f aca="false">IF(A16="","",IF(N(Deals!K16)&gt;0,Deals!K16,N(Deals!M16))*TaxRate/12+VacantInsMo+SecuringMo+UtilitiesMo+N(Deals!T16))</f>
        <v/>
      </c>
      <c r="Q16" s="26" t="str">
        <f aca="false">IF(A16="","",SheriffFees+PurchaseTitle+CompelDeedLegal+K16*PossessionCost+N(Deals!R16)+N(Deals!T16)*HOAArrearsMonths)</f>
        <v/>
      </c>
      <c r="R16" s="26" t="str">
        <f aca="false">IF(A16="","",N(Deals!M16)*(BrokerPct+SellerRTT+SellClosingPct+ConcessionsPct))</f>
        <v/>
      </c>
      <c r="S16" s="26" t="str">
        <f aca="false">IF(A16="","",Q16+O16+P16*M16)</f>
        <v/>
      </c>
      <c r="T16" s="26" t="str">
        <f aca="false">IF(A16="","",N(Deals!M16)-R16-S16)</f>
        <v/>
      </c>
      <c r="U16" s="26" t="str">
        <f aca="false">IF(A16="","",MIN(T16-FlipTarget,(T16-FlipMinAnnROI*M16/12*S16)/(1+FlipMinAnnROI*M16/12)))</f>
        <v/>
      </c>
      <c r="V16" s="26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26" t="str">
        <f aca="false">IF(A16="","",((V16)*(1+BuyerPremium)+IF(N(Deals!S16)=0,0,MIN(N(Deals!S16),MAX(0,N(Deals!S16)+SheriffCostsFromBid-(V16)*(1-RTTPurchase)))))+S16)</f>
        <v/>
      </c>
      <c r="X16" s="26" t="str">
        <f aca="false">IF(A16="","",T16-((V16)*(1+BuyerPremium)+IF(N(Deals!S16)=0,0,MIN(N(Deals!S16),MAX(0,N(Deals!S16)+SheriffCostsFromBid-(V16)*(1-RTTPurchase))))))</f>
        <v/>
      </c>
      <c r="Y16" s="27" t="str">
        <f aca="false">IF(A16="","",IFERROR(X16/W16/(M16/12),0))</f>
        <v/>
      </c>
      <c r="Z16" s="26" t="str">
        <f aca="false">IF(A16="","",N(Deals!N16)*12*(1-Vacancy)*(1-MgmtPct-MaintPct-CapexPct)-N(Deals!M16)*TaxRate-MAX(1,N(Deals!J16))*(InsPerUnit+WaterPerUnit)-N(Deals!T16)*12)</f>
        <v/>
      </c>
      <c r="AA16" s="26" t="str">
        <f aca="false">IF(A16="","",Q16+O16+P16*N16)</f>
        <v/>
      </c>
      <c r="AB16" s="26" t="str">
        <f aca="false">IF(A16="","",MAX(0,MIN(RefiLTV*N(Deals!M16),Z16/(RefiDSCR*12*PMT(RefiRate/12,RefiTerm*12,-1)))))</f>
        <v/>
      </c>
      <c r="AC16" s="26" t="str">
        <f aca="false">IF(A16="","",Z16-AB16*12*PMT(RefiRate/12,RefiTerm*12,-1))</f>
        <v/>
      </c>
      <c r="AD16" s="26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26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26" t="str">
        <f aca="false">IF(A16="","",IF(HoldMeasure="Cash-on-cash",AE16,AD16))</f>
        <v/>
      </c>
      <c r="AG16" s="26" t="str">
        <f aca="false">IF(A16="","",((AF16)*(1+BuyerPremium)+IF(N(Deals!S16)=0,0,MIN(N(Deals!S16),MAX(0,N(Deals!S16)+SheriffCostsFromBid-(AF16)*(1-RTTPurchase)))))+AA16)</f>
        <v/>
      </c>
      <c r="AH16" s="27" t="str">
        <f aca="false">IF(A16="","",IFERROR(Z16/AG16,0))</f>
        <v/>
      </c>
      <c r="AI16" s="26" t="str">
        <f aca="false">IF(A16="","",AG16-AB16*(1-RefiCostPct))</f>
        <v/>
      </c>
      <c r="AJ16" s="27" t="str">
        <f aca="false">IF(A16="","",IF(AI16&lt;=0,"All cash out",AC16/AI16))</f>
        <v/>
      </c>
      <c r="AK16" s="26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26" t="str">
        <f aca="false">IF(OR(A16="",N(Deals!U16)=0),"",Deals!U16*N(Deals!W16))</f>
        <v/>
      </c>
      <c r="AM16" s="26" t="str">
        <f aca="false">IF(AL16="","",DemoCost+N(Deals!V16)*BuildCostPSF*(1+SoftCostPct)+P16*(DeedMonths+K16*EjectMonths+BuildMonths+SellMonths)+Q16+AL16*(BrokerPct+SellerRTT+SellClosingPct+ConcessionsPct))</f>
        <v/>
      </c>
      <c r="AN16" s="26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false" outlineLevel="0" collapsed="false">
      <c r="A17" s="22" t="str">
        <f aca="false">IF(Deals!A17="","",Deals!A17)</f>
        <v/>
      </c>
      <c r="B17" s="0" t="str">
        <f aca="false">IF(A17="","",Deals!B17)</f>
        <v/>
      </c>
      <c r="C17" s="21" t="str">
        <f aca="false">IF(A17="","",IF(MAX(V17,AF17)&lt;=0,"Pass",IF(V17&gt;=AF17,"Flip","Value-add hold")))</f>
        <v/>
      </c>
      <c r="D17" s="23" t="str">
        <f aca="false">IF(A17="","",MAX(V17,AF17))</f>
        <v/>
      </c>
      <c r="E17" s="24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3" t="str">
        <f aca="false">IF(A17="","",IF(C17="Flip",W17,IF(C17="Value-add hold",AG17,0)))</f>
        <v/>
      </c>
      <c r="G17" s="24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1" t="str">
        <f aca="false">IF(A17="","",IF(C17="Flip",IF(W17&lt;=FlipCeiling,"In $300k flip box","Over flip ceiling: needs to be exceptional"),IF(C17="Value-add hold","Value-add","")))</f>
        <v/>
      </c>
      <c r="I17" s="24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4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2" t="str">
        <f aca="false">IF(A17="","",IF(OR(Deals!Q17="Occupied",AND(Deals!Q17&lt;&gt;"Vacant",UnknownAsOccupied="Y")),1,0))</f>
        <v/>
      </c>
      <c r="L17" s="25" t="str">
        <f aca="false">IF(A17="","",IFERROR(INDEX(ScopeMonths,MATCH(Deals!O17,ScopeNames,0)),INDEX(ScopeMonths,3)))</f>
        <v/>
      </c>
      <c r="M17" s="25" t="str">
        <f aca="false">IF(A17="","",DeedMonths+K17*EjectMonths+L17+SellMonths)</f>
        <v/>
      </c>
      <c r="N17" s="25" t="str">
        <f aca="false">IF(A17="","",DeedMonths+K17*EjectMonths+L17+LeaseUpMonths)</f>
        <v/>
      </c>
      <c r="O17" s="26" t="str">
        <f aca="false">IF(A17="","",N(Deals!G17)*IFERROR(INDEX(ScopePSF,MATCH(Deals!O17,ScopeNames,0)),INDEX(ScopePSF,3))*(1+Contingency)+BlindAllowance+N(Deals!P17))</f>
        <v/>
      </c>
      <c r="P17" s="26" t="str">
        <f aca="false">IF(A17="","",IF(N(Deals!K17)&gt;0,Deals!K17,N(Deals!M17))*TaxRate/12+VacantInsMo+SecuringMo+UtilitiesMo+N(Deals!T17))</f>
        <v/>
      </c>
      <c r="Q17" s="26" t="str">
        <f aca="false">IF(A17="","",SheriffFees+PurchaseTitle+CompelDeedLegal+K17*PossessionCost+N(Deals!R17)+N(Deals!T17)*HOAArrearsMonths)</f>
        <v/>
      </c>
      <c r="R17" s="26" t="str">
        <f aca="false">IF(A17="","",N(Deals!M17)*(BrokerPct+SellerRTT+SellClosingPct+ConcessionsPct))</f>
        <v/>
      </c>
      <c r="S17" s="26" t="str">
        <f aca="false">IF(A17="","",Q17+O17+P17*M17)</f>
        <v/>
      </c>
      <c r="T17" s="26" t="str">
        <f aca="false">IF(A17="","",N(Deals!M17)-R17-S17)</f>
        <v/>
      </c>
      <c r="U17" s="26" t="str">
        <f aca="false">IF(A17="","",MIN(T17-FlipTarget,(T17-FlipMinAnnROI*M17/12*S17)/(1+FlipMinAnnROI*M17/12)))</f>
        <v/>
      </c>
      <c r="V17" s="26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26" t="str">
        <f aca="false">IF(A17="","",((V17)*(1+BuyerPremium)+IF(N(Deals!S17)=0,0,MIN(N(Deals!S17),MAX(0,N(Deals!S17)+SheriffCostsFromBid-(V17)*(1-RTTPurchase)))))+S17)</f>
        <v/>
      </c>
      <c r="X17" s="26" t="str">
        <f aca="false">IF(A17="","",T17-((V17)*(1+BuyerPremium)+IF(N(Deals!S17)=0,0,MIN(N(Deals!S17),MAX(0,N(Deals!S17)+SheriffCostsFromBid-(V17)*(1-RTTPurchase))))))</f>
        <v/>
      </c>
      <c r="Y17" s="27" t="str">
        <f aca="false">IF(A17="","",IFERROR(X17/W17/(M17/12),0))</f>
        <v/>
      </c>
      <c r="Z17" s="26" t="str">
        <f aca="false">IF(A17="","",N(Deals!N17)*12*(1-Vacancy)*(1-MgmtPct-MaintPct-CapexPct)-N(Deals!M17)*TaxRate-MAX(1,N(Deals!J17))*(InsPerUnit+WaterPerUnit)-N(Deals!T17)*12)</f>
        <v/>
      </c>
      <c r="AA17" s="26" t="str">
        <f aca="false">IF(A17="","",Q17+O17+P17*N17)</f>
        <v/>
      </c>
      <c r="AB17" s="26" t="str">
        <f aca="false">IF(A17="","",MAX(0,MIN(RefiLTV*N(Deals!M17),Z17/(RefiDSCR*12*PMT(RefiRate/12,RefiTerm*12,-1)))))</f>
        <v/>
      </c>
      <c r="AC17" s="26" t="str">
        <f aca="false">IF(A17="","",Z17-AB17*12*PMT(RefiRate/12,RefiTerm*12,-1))</f>
        <v/>
      </c>
      <c r="AD17" s="26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26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26" t="str">
        <f aca="false">IF(A17="","",IF(HoldMeasure="Cash-on-cash",AE17,AD17))</f>
        <v/>
      </c>
      <c r="AG17" s="26" t="str">
        <f aca="false">IF(A17="","",((AF17)*(1+BuyerPremium)+IF(N(Deals!S17)=0,0,MIN(N(Deals!S17),MAX(0,N(Deals!S17)+SheriffCostsFromBid-(AF17)*(1-RTTPurchase)))))+AA17)</f>
        <v/>
      </c>
      <c r="AH17" s="27" t="str">
        <f aca="false">IF(A17="","",IFERROR(Z17/AG17,0))</f>
        <v/>
      </c>
      <c r="AI17" s="26" t="str">
        <f aca="false">IF(A17="","",AG17-AB17*(1-RefiCostPct))</f>
        <v/>
      </c>
      <c r="AJ17" s="27" t="str">
        <f aca="false">IF(A17="","",IF(AI17&lt;=0,"All cash out",AC17/AI17))</f>
        <v/>
      </c>
      <c r="AK17" s="26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26" t="str">
        <f aca="false">IF(OR(A17="",N(Deals!U17)=0),"",Deals!U17*N(Deals!W17))</f>
        <v/>
      </c>
      <c r="AM17" s="26" t="str">
        <f aca="false">IF(AL17="","",DemoCost+N(Deals!V17)*BuildCostPSF*(1+SoftCostPct)+P17*(DeedMonths+K17*EjectMonths+BuildMonths+SellMonths)+Q17+AL17*(BrokerPct+SellerRTT+SellClosingPct+ConcessionsPct))</f>
        <v/>
      </c>
      <c r="AN17" s="26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false" outlineLevel="0" collapsed="false">
      <c r="A18" s="22" t="str">
        <f aca="false">IF(Deals!A18="","",Deals!A18)</f>
        <v/>
      </c>
      <c r="B18" s="0" t="str">
        <f aca="false">IF(A18="","",Deals!B18)</f>
        <v/>
      </c>
      <c r="C18" s="21" t="str">
        <f aca="false">IF(A18="","",IF(MAX(V18,AF18)&lt;=0,"Pass",IF(V18&gt;=AF18,"Flip","Value-add hold")))</f>
        <v/>
      </c>
      <c r="D18" s="23" t="str">
        <f aca="false">IF(A18="","",MAX(V18,AF18))</f>
        <v/>
      </c>
      <c r="E18" s="24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3" t="str">
        <f aca="false">IF(A18="","",IF(C18="Flip",W18,IF(C18="Value-add hold",AG18,0)))</f>
        <v/>
      </c>
      <c r="G18" s="24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1" t="str">
        <f aca="false">IF(A18="","",IF(C18="Flip",IF(W18&lt;=FlipCeiling,"In $300k flip box","Over flip ceiling: needs to be exceptional"),IF(C18="Value-add hold","Value-add","")))</f>
        <v/>
      </c>
      <c r="I18" s="24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4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2" t="str">
        <f aca="false">IF(A18="","",IF(OR(Deals!Q18="Occupied",AND(Deals!Q18&lt;&gt;"Vacant",UnknownAsOccupied="Y")),1,0))</f>
        <v/>
      </c>
      <c r="L18" s="25" t="str">
        <f aca="false">IF(A18="","",IFERROR(INDEX(ScopeMonths,MATCH(Deals!O18,ScopeNames,0)),INDEX(ScopeMonths,3)))</f>
        <v/>
      </c>
      <c r="M18" s="25" t="str">
        <f aca="false">IF(A18="","",DeedMonths+K18*EjectMonths+L18+SellMonths)</f>
        <v/>
      </c>
      <c r="N18" s="25" t="str">
        <f aca="false">IF(A18="","",DeedMonths+K18*EjectMonths+L18+LeaseUpMonths)</f>
        <v/>
      </c>
      <c r="O18" s="26" t="str">
        <f aca="false">IF(A18="","",N(Deals!G18)*IFERROR(INDEX(ScopePSF,MATCH(Deals!O18,ScopeNames,0)),INDEX(ScopePSF,3))*(1+Contingency)+BlindAllowance+N(Deals!P18))</f>
        <v/>
      </c>
      <c r="P18" s="26" t="str">
        <f aca="false">IF(A18="","",IF(N(Deals!K18)&gt;0,Deals!K18,N(Deals!M18))*TaxRate/12+VacantInsMo+SecuringMo+UtilitiesMo+N(Deals!T18))</f>
        <v/>
      </c>
      <c r="Q18" s="26" t="str">
        <f aca="false">IF(A18="","",SheriffFees+PurchaseTitle+CompelDeedLegal+K18*PossessionCost+N(Deals!R18)+N(Deals!T18)*HOAArrearsMonths)</f>
        <v/>
      </c>
      <c r="R18" s="26" t="str">
        <f aca="false">IF(A18="","",N(Deals!M18)*(BrokerPct+SellerRTT+SellClosingPct+ConcessionsPct))</f>
        <v/>
      </c>
      <c r="S18" s="26" t="str">
        <f aca="false">IF(A18="","",Q18+O18+P18*M18)</f>
        <v/>
      </c>
      <c r="T18" s="26" t="str">
        <f aca="false">IF(A18="","",N(Deals!M18)-R18-S18)</f>
        <v/>
      </c>
      <c r="U18" s="26" t="str">
        <f aca="false">IF(A18="","",MIN(T18-FlipTarget,(T18-FlipMinAnnROI*M18/12*S18)/(1+FlipMinAnnROI*M18/12)))</f>
        <v/>
      </c>
      <c r="V18" s="26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26" t="str">
        <f aca="false">IF(A18="","",((V18)*(1+BuyerPremium)+IF(N(Deals!S18)=0,0,MIN(N(Deals!S18),MAX(0,N(Deals!S18)+SheriffCostsFromBid-(V18)*(1-RTTPurchase)))))+S18)</f>
        <v/>
      </c>
      <c r="X18" s="26" t="str">
        <f aca="false">IF(A18="","",T18-((V18)*(1+BuyerPremium)+IF(N(Deals!S18)=0,0,MIN(N(Deals!S18),MAX(0,N(Deals!S18)+SheriffCostsFromBid-(V18)*(1-RTTPurchase))))))</f>
        <v/>
      </c>
      <c r="Y18" s="27" t="str">
        <f aca="false">IF(A18="","",IFERROR(X18/W18/(M18/12),0))</f>
        <v/>
      </c>
      <c r="Z18" s="26" t="str">
        <f aca="false">IF(A18="","",N(Deals!N18)*12*(1-Vacancy)*(1-MgmtPct-MaintPct-CapexPct)-N(Deals!M18)*TaxRate-MAX(1,N(Deals!J18))*(InsPerUnit+WaterPerUnit)-N(Deals!T18)*12)</f>
        <v/>
      </c>
      <c r="AA18" s="26" t="str">
        <f aca="false">IF(A18="","",Q18+O18+P18*N18)</f>
        <v/>
      </c>
      <c r="AB18" s="26" t="str">
        <f aca="false">IF(A18="","",MAX(0,MIN(RefiLTV*N(Deals!M18),Z18/(RefiDSCR*12*PMT(RefiRate/12,RefiTerm*12,-1)))))</f>
        <v/>
      </c>
      <c r="AC18" s="26" t="str">
        <f aca="false">IF(A18="","",Z18-AB18*12*PMT(RefiRate/12,RefiTerm*12,-1))</f>
        <v/>
      </c>
      <c r="AD18" s="26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26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26" t="str">
        <f aca="false">IF(A18="","",IF(HoldMeasure="Cash-on-cash",AE18,AD18))</f>
        <v/>
      </c>
      <c r="AG18" s="26" t="str">
        <f aca="false">IF(A18="","",((AF18)*(1+BuyerPremium)+IF(N(Deals!S18)=0,0,MIN(N(Deals!S18),MAX(0,N(Deals!S18)+SheriffCostsFromBid-(AF18)*(1-RTTPurchase)))))+AA18)</f>
        <v/>
      </c>
      <c r="AH18" s="27" t="str">
        <f aca="false">IF(A18="","",IFERROR(Z18/AG18,0))</f>
        <v/>
      </c>
      <c r="AI18" s="26" t="str">
        <f aca="false">IF(A18="","",AG18-AB18*(1-RefiCostPct))</f>
        <v/>
      </c>
      <c r="AJ18" s="27" t="str">
        <f aca="false">IF(A18="","",IF(AI18&lt;=0,"All cash out",AC18/AI18))</f>
        <v/>
      </c>
      <c r="AK18" s="26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26" t="str">
        <f aca="false">IF(OR(A18="",N(Deals!U18)=0),"",Deals!U18*N(Deals!W18))</f>
        <v/>
      </c>
      <c r="AM18" s="26" t="str">
        <f aca="false">IF(AL18="","",DemoCost+N(Deals!V18)*BuildCostPSF*(1+SoftCostPct)+P18*(DeedMonths+K18*EjectMonths+BuildMonths+SellMonths)+Q18+AL18*(BrokerPct+SellerRTT+SellClosingPct+ConcessionsPct))</f>
        <v/>
      </c>
      <c r="AN18" s="26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false" outlineLevel="0" collapsed="false">
      <c r="A19" s="22" t="str">
        <f aca="false">IF(Deals!A19="","",Deals!A19)</f>
        <v/>
      </c>
      <c r="B19" s="0" t="str">
        <f aca="false">IF(A19="","",Deals!B19)</f>
        <v/>
      </c>
      <c r="C19" s="21" t="str">
        <f aca="false">IF(A19="","",IF(MAX(V19,AF19)&lt;=0,"Pass",IF(V19&gt;=AF19,"Flip","Value-add hold")))</f>
        <v/>
      </c>
      <c r="D19" s="23" t="str">
        <f aca="false">IF(A19="","",MAX(V19,AF19))</f>
        <v/>
      </c>
      <c r="E19" s="24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3" t="str">
        <f aca="false">IF(A19="","",IF(C19="Flip",W19,IF(C19="Value-add hold",AG19,0)))</f>
        <v/>
      </c>
      <c r="G19" s="24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1" t="str">
        <f aca="false">IF(A19="","",IF(C19="Flip",IF(W19&lt;=FlipCeiling,"In $300k flip box","Over flip ceiling: needs to be exceptional"),IF(C19="Value-add hold","Value-add","")))</f>
        <v/>
      </c>
      <c r="I19" s="24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4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2" t="str">
        <f aca="false">IF(A19="","",IF(OR(Deals!Q19="Occupied",AND(Deals!Q19&lt;&gt;"Vacant",UnknownAsOccupied="Y")),1,0))</f>
        <v/>
      </c>
      <c r="L19" s="25" t="str">
        <f aca="false">IF(A19="","",IFERROR(INDEX(ScopeMonths,MATCH(Deals!O19,ScopeNames,0)),INDEX(ScopeMonths,3)))</f>
        <v/>
      </c>
      <c r="M19" s="25" t="str">
        <f aca="false">IF(A19="","",DeedMonths+K19*EjectMonths+L19+SellMonths)</f>
        <v/>
      </c>
      <c r="N19" s="25" t="str">
        <f aca="false">IF(A19="","",DeedMonths+K19*EjectMonths+L19+LeaseUpMonths)</f>
        <v/>
      </c>
      <c r="O19" s="26" t="str">
        <f aca="false">IF(A19="","",N(Deals!G19)*IFERROR(INDEX(ScopePSF,MATCH(Deals!O19,ScopeNames,0)),INDEX(ScopePSF,3))*(1+Contingency)+BlindAllowance+N(Deals!P19))</f>
        <v/>
      </c>
      <c r="P19" s="26" t="str">
        <f aca="false">IF(A19="","",IF(N(Deals!K19)&gt;0,Deals!K19,N(Deals!M19))*TaxRate/12+VacantInsMo+SecuringMo+UtilitiesMo+N(Deals!T19))</f>
        <v/>
      </c>
      <c r="Q19" s="26" t="str">
        <f aca="false">IF(A19="","",SheriffFees+PurchaseTitle+CompelDeedLegal+K19*PossessionCost+N(Deals!R19)+N(Deals!T19)*HOAArrearsMonths)</f>
        <v/>
      </c>
      <c r="R19" s="26" t="str">
        <f aca="false">IF(A19="","",N(Deals!M19)*(BrokerPct+SellerRTT+SellClosingPct+ConcessionsPct))</f>
        <v/>
      </c>
      <c r="S19" s="26" t="str">
        <f aca="false">IF(A19="","",Q19+O19+P19*M19)</f>
        <v/>
      </c>
      <c r="T19" s="26" t="str">
        <f aca="false">IF(A19="","",N(Deals!M19)-R19-S19)</f>
        <v/>
      </c>
      <c r="U19" s="26" t="str">
        <f aca="false">IF(A19="","",MIN(T19-FlipTarget,(T19-FlipMinAnnROI*M19/12*S19)/(1+FlipMinAnnROI*M19/12)))</f>
        <v/>
      </c>
      <c r="V19" s="26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26" t="str">
        <f aca="false">IF(A19="","",((V19)*(1+BuyerPremium)+IF(N(Deals!S19)=0,0,MIN(N(Deals!S19),MAX(0,N(Deals!S19)+SheriffCostsFromBid-(V19)*(1-RTTPurchase)))))+S19)</f>
        <v/>
      </c>
      <c r="X19" s="26" t="str">
        <f aca="false">IF(A19="","",T19-((V19)*(1+BuyerPremium)+IF(N(Deals!S19)=0,0,MIN(N(Deals!S19),MAX(0,N(Deals!S19)+SheriffCostsFromBid-(V19)*(1-RTTPurchase))))))</f>
        <v/>
      </c>
      <c r="Y19" s="27" t="str">
        <f aca="false">IF(A19="","",IFERROR(X19/W19/(M19/12),0))</f>
        <v/>
      </c>
      <c r="Z19" s="26" t="str">
        <f aca="false">IF(A19="","",N(Deals!N19)*12*(1-Vacancy)*(1-MgmtPct-MaintPct-CapexPct)-N(Deals!M19)*TaxRate-MAX(1,N(Deals!J19))*(InsPerUnit+WaterPerUnit)-N(Deals!T19)*12)</f>
        <v/>
      </c>
      <c r="AA19" s="26" t="str">
        <f aca="false">IF(A19="","",Q19+O19+P19*N19)</f>
        <v/>
      </c>
      <c r="AB19" s="26" t="str">
        <f aca="false">IF(A19="","",MAX(0,MIN(RefiLTV*N(Deals!M19),Z19/(RefiDSCR*12*PMT(RefiRate/12,RefiTerm*12,-1)))))</f>
        <v/>
      </c>
      <c r="AC19" s="26" t="str">
        <f aca="false">IF(A19="","",Z19-AB19*12*PMT(RefiRate/12,RefiTerm*12,-1))</f>
        <v/>
      </c>
      <c r="AD19" s="26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26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26" t="str">
        <f aca="false">IF(A19="","",IF(HoldMeasure="Cash-on-cash",AE19,AD19))</f>
        <v/>
      </c>
      <c r="AG19" s="26" t="str">
        <f aca="false">IF(A19="","",((AF19)*(1+BuyerPremium)+IF(N(Deals!S19)=0,0,MIN(N(Deals!S19),MAX(0,N(Deals!S19)+SheriffCostsFromBid-(AF19)*(1-RTTPurchase)))))+AA19)</f>
        <v/>
      </c>
      <c r="AH19" s="27" t="str">
        <f aca="false">IF(A19="","",IFERROR(Z19/AG19,0))</f>
        <v/>
      </c>
      <c r="AI19" s="26" t="str">
        <f aca="false">IF(A19="","",AG19-AB19*(1-RefiCostPct))</f>
        <v/>
      </c>
      <c r="AJ19" s="27" t="str">
        <f aca="false">IF(A19="","",IF(AI19&lt;=0,"All cash out",AC19/AI19))</f>
        <v/>
      </c>
      <c r="AK19" s="26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26" t="str">
        <f aca="false">IF(OR(A19="",N(Deals!U19)=0),"",Deals!U19*N(Deals!W19))</f>
        <v/>
      </c>
      <c r="AM19" s="26" t="str">
        <f aca="false">IF(AL19="","",DemoCost+N(Deals!V19)*BuildCostPSF*(1+SoftCostPct)+P19*(DeedMonths+K19*EjectMonths+BuildMonths+SellMonths)+Q19+AL19*(BrokerPct+SellerRTT+SellClosingPct+ConcessionsPct))</f>
        <v/>
      </c>
      <c r="AN19" s="26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false" outlineLevel="0" collapsed="false">
      <c r="A20" s="22" t="str">
        <f aca="false">IF(Deals!A20="","",Deals!A20)</f>
        <v/>
      </c>
      <c r="B20" s="0" t="str">
        <f aca="false">IF(A20="","",Deals!B20)</f>
        <v/>
      </c>
      <c r="C20" s="21" t="str">
        <f aca="false">IF(A20="","",IF(MAX(V20,AF20)&lt;=0,"Pass",IF(V20&gt;=AF20,"Flip","Value-add hold")))</f>
        <v/>
      </c>
      <c r="D20" s="23" t="str">
        <f aca="false">IF(A20="","",MAX(V20,AF20))</f>
        <v/>
      </c>
      <c r="E20" s="24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3" t="str">
        <f aca="false">IF(A20="","",IF(C20="Flip",W20,IF(C20="Value-add hold",AG20,0)))</f>
        <v/>
      </c>
      <c r="G20" s="24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1" t="str">
        <f aca="false">IF(A20="","",IF(C20="Flip",IF(W20&lt;=FlipCeiling,"In $300k flip box","Over flip ceiling: needs to be exceptional"),IF(C20="Value-add hold","Value-add","")))</f>
        <v/>
      </c>
      <c r="I20" s="24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4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2" t="str">
        <f aca="false">IF(A20="","",IF(OR(Deals!Q20="Occupied",AND(Deals!Q20&lt;&gt;"Vacant",UnknownAsOccupied="Y")),1,0))</f>
        <v/>
      </c>
      <c r="L20" s="25" t="str">
        <f aca="false">IF(A20="","",IFERROR(INDEX(ScopeMonths,MATCH(Deals!O20,ScopeNames,0)),INDEX(ScopeMonths,3)))</f>
        <v/>
      </c>
      <c r="M20" s="25" t="str">
        <f aca="false">IF(A20="","",DeedMonths+K20*EjectMonths+L20+SellMonths)</f>
        <v/>
      </c>
      <c r="N20" s="25" t="str">
        <f aca="false">IF(A20="","",DeedMonths+K20*EjectMonths+L20+LeaseUpMonths)</f>
        <v/>
      </c>
      <c r="O20" s="26" t="str">
        <f aca="false">IF(A20="","",N(Deals!G20)*IFERROR(INDEX(ScopePSF,MATCH(Deals!O20,ScopeNames,0)),INDEX(ScopePSF,3))*(1+Contingency)+BlindAllowance+N(Deals!P20))</f>
        <v/>
      </c>
      <c r="P20" s="26" t="str">
        <f aca="false">IF(A20="","",IF(N(Deals!K20)&gt;0,Deals!K20,N(Deals!M20))*TaxRate/12+VacantInsMo+SecuringMo+UtilitiesMo+N(Deals!T20))</f>
        <v/>
      </c>
      <c r="Q20" s="26" t="str">
        <f aca="false">IF(A20="","",SheriffFees+PurchaseTitle+CompelDeedLegal+K20*PossessionCost+N(Deals!R20)+N(Deals!T20)*HOAArrearsMonths)</f>
        <v/>
      </c>
      <c r="R20" s="26" t="str">
        <f aca="false">IF(A20="","",N(Deals!M20)*(BrokerPct+SellerRTT+SellClosingPct+ConcessionsPct))</f>
        <v/>
      </c>
      <c r="S20" s="26" t="str">
        <f aca="false">IF(A20="","",Q20+O20+P20*M20)</f>
        <v/>
      </c>
      <c r="T20" s="26" t="str">
        <f aca="false">IF(A20="","",N(Deals!M20)-R20-S20)</f>
        <v/>
      </c>
      <c r="U20" s="26" t="str">
        <f aca="false">IF(A20="","",MIN(T20-FlipTarget,(T20-FlipMinAnnROI*M20/12*S20)/(1+FlipMinAnnROI*M20/12)))</f>
        <v/>
      </c>
      <c r="V20" s="26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26" t="str">
        <f aca="false">IF(A20="","",((V20)*(1+BuyerPremium)+IF(N(Deals!S20)=0,0,MIN(N(Deals!S20),MAX(0,N(Deals!S20)+SheriffCostsFromBid-(V20)*(1-RTTPurchase)))))+S20)</f>
        <v/>
      </c>
      <c r="X20" s="26" t="str">
        <f aca="false">IF(A20="","",T20-((V20)*(1+BuyerPremium)+IF(N(Deals!S20)=0,0,MIN(N(Deals!S20),MAX(0,N(Deals!S20)+SheriffCostsFromBid-(V20)*(1-RTTPurchase))))))</f>
        <v/>
      </c>
      <c r="Y20" s="27" t="str">
        <f aca="false">IF(A20="","",IFERROR(X20/W20/(M20/12),0))</f>
        <v/>
      </c>
      <c r="Z20" s="26" t="str">
        <f aca="false">IF(A20="","",N(Deals!N20)*12*(1-Vacancy)*(1-MgmtPct-MaintPct-CapexPct)-N(Deals!M20)*TaxRate-MAX(1,N(Deals!J20))*(InsPerUnit+WaterPerUnit)-N(Deals!T20)*12)</f>
        <v/>
      </c>
      <c r="AA20" s="26" t="str">
        <f aca="false">IF(A20="","",Q20+O20+P20*N20)</f>
        <v/>
      </c>
      <c r="AB20" s="26" t="str">
        <f aca="false">IF(A20="","",MAX(0,MIN(RefiLTV*N(Deals!M20),Z20/(RefiDSCR*12*PMT(RefiRate/12,RefiTerm*12,-1)))))</f>
        <v/>
      </c>
      <c r="AC20" s="26" t="str">
        <f aca="false">IF(A20="","",Z20-AB20*12*PMT(RefiRate/12,RefiTerm*12,-1))</f>
        <v/>
      </c>
      <c r="AD20" s="26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26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26" t="str">
        <f aca="false">IF(A20="","",IF(HoldMeasure="Cash-on-cash",AE20,AD20))</f>
        <v/>
      </c>
      <c r="AG20" s="26" t="str">
        <f aca="false">IF(A20="","",((AF20)*(1+BuyerPremium)+IF(N(Deals!S20)=0,0,MIN(N(Deals!S20),MAX(0,N(Deals!S20)+SheriffCostsFromBid-(AF20)*(1-RTTPurchase)))))+AA20)</f>
        <v/>
      </c>
      <c r="AH20" s="27" t="str">
        <f aca="false">IF(A20="","",IFERROR(Z20/AG20,0))</f>
        <v/>
      </c>
      <c r="AI20" s="26" t="str">
        <f aca="false">IF(A20="","",AG20-AB20*(1-RefiCostPct))</f>
        <v/>
      </c>
      <c r="AJ20" s="27" t="str">
        <f aca="false">IF(A20="","",IF(AI20&lt;=0,"All cash out",AC20/AI20))</f>
        <v/>
      </c>
      <c r="AK20" s="26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26" t="str">
        <f aca="false">IF(OR(A20="",N(Deals!U20)=0),"",Deals!U20*N(Deals!W20))</f>
        <v/>
      </c>
      <c r="AM20" s="26" t="str">
        <f aca="false">IF(AL20="","",DemoCost+N(Deals!V20)*BuildCostPSF*(1+SoftCostPct)+P20*(DeedMonths+K20*EjectMonths+BuildMonths+SellMonths)+Q20+AL20*(BrokerPct+SellerRTT+SellClosingPct+ConcessionsPct))</f>
        <v/>
      </c>
      <c r="AN20" s="26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false" outlineLevel="0" collapsed="false">
      <c r="A21" s="22" t="str">
        <f aca="false">IF(Deals!A21="","",Deals!A21)</f>
        <v/>
      </c>
      <c r="B21" s="0" t="str">
        <f aca="false">IF(A21="","",Deals!B21)</f>
        <v/>
      </c>
      <c r="C21" s="21" t="str">
        <f aca="false">IF(A21="","",IF(MAX(V21,AF21)&lt;=0,"Pass",IF(V21&gt;=AF21,"Flip","Value-add hold")))</f>
        <v/>
      </c>
      <c r="D21" s="23" t="str">
        <f aca="false">IF(A21="","",MAX(V21,AF21))</f>
        <v/>
      </c>
      <c r="E21" s="24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3" t="str">
        <f aca="false">IF(A21="","",IF(C21="Flip",W21,IF(C21="Value-add hold",AG21,0)))</f>
        <v/>
      </c>
      <c r="G21" s="24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1" t="str">
        <f aca="false">IF(A21="","",IF(C21="Flip",IF(W21&lt;=FlipCeiling,"In $300k flip box","Over flip ceiling: needs to be exceptional"),IF(C21="Value-add hold","Value-add","")))</f>
        <v/>
      </c>
      <c r="I21" s="24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4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2" t="str">
        <f aca="false">IF(A21="","",IF(OR(Deals!Q21="Occupied",AND(Deals!Q21&lt;&gt;"Vacant",UnknownAsOccupied="Y")),1,0))</f>
        <v/>
      </c>
      <c r="L21" s="25" t="str">
        <f aca="false">IF(A21="","",IFERROR(INDEX(ScopeMonths,MATCH(Deals!O21,ScopeNames,0)),INDEX(ScopeMonths,3)))</f>
        <v/>
      </c>
      <c r="M21" s="25" t="str">
        <f aca="false">IF(A21="","",DeedMonths+K21*EjectMonths+L21+SellMonths)</f>
        <v/>
      </c>
      <c r="N21" s="25" t="str">
        <f aca="false">IF(A21="","",DeedMonths+K21*EjectMonths+L21+LeaseUpMonths)</f>
        <v/>
      </c>
      <c r="O21" s="26" t="str">
        <f aca="false">IF(A21="","",N(Deals!G21)*IFERROR(INDEX(ScopePSF,MATCH(Deals!O21,ScopeNames,0)),INDEX(ScopePSF,3))*(1+Contingency)+BlindAllowance+N(Deals!P21))</f>
        <v/>
      </c>
      <c r="P21" s="26" t="str">
        <f aca="false">IF(A21="","",IF(N(Deals!K21)&gt;0,Deals!K21,N(Deals!M21))*TaxRate/12+VacantInsMo+SecuringMo+UtilitiesMo+N(Deals!T21))</f>
        <v/>
      </c>
      <c r="Q21" s="26" t="str">
        <f aca="false">IF(A21="","",SheriffFees+PurchaseTitle+CompelDeedLegal+K21*PossessionCost+N(Deals!R21)+N(Deals!T21)*HOAArrearsMonths)</f>
        <v/>
      </c>
      <c r="R21" s="26" t="str">
        <f aca="false">IF(A21="","",N(Deals!M21)*(BrokerPct+SellerRTT+SellClosingPct+ConcessionsPct))</f>
        <v/>
      </c>
      <c r="S21" s="26" t="str">
        <f aca="false">IF(A21="","",Q21+O21+P21*M21)</f>
        <v/>
      </c>
      <c r="T21" s="26" t="str">
        <f aca="false">IF(A21="","",N(Deals!M21)-R21-S21)</f>
        <v/>
      </c>
      <c r="U21" s="26" t="str">
        <f aca="false">IF(A21="","",MIN(T21-FlipTarget,(T21-FlipMinAnnROI*M21/12*S21)/(1+FlipMinAnnROI*M21/12)))</f>
        <v/>
      </c>
      <c r="V21" s="26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26" t="str">
        <f aca="false">IF(A21="","",((V21)*(1+BuyerPremium)+IF(N(Deals!S21)=0,0,MIN(N(Deals!S21),MAX(0,N(Deals!S21)+SheriffCostsFromBid-(V21)*(1-RTTPurchase)))))+S21)</f>
        <v/>
      </c>
      <c r="X21" s="26" t="str">
        <f aca="false">IF(A21="","",T21-((V21)*(1+BuyerPremium)+IF(N(Deals!S21)=0,0,MIN(N(Deals!S21),MAX(0,N(Deals!S21)+SheriffCostsFromBid-(V21)*(1-RTTPurchase))))))</f>
        <v/>
      </c>
      <c r="Y21" s="27" t="str">
        <f aca="false">IF(A21="","",IFERROR(X21/W21/(M21/12),0))</f>
        <v/>
      </c>
      <c r="Z21" s="26" t="str">
        <f aca="false">IF(A21="","",N(Deals!N21)*12*(1-Vacancy)*(1-MgmtPct-MaintPct-CapexPct)-N(Deals!M21)*TaxRate-MAX(1,N(Deals!J21))*(InsPerUnit+WaterPerUnit)-N(Deals!T21)*12)</f>
        <v/>
      </c>
      <c r="AA21" s="26" t="str">
        <f aca="false">IF(A21="","",Q21+O21+P21*N21)</f>
        <v/>
      </c>
      <c r="AB21" s="26" t="str">
        <f aca="false">IF(A21="","",MAX(0,MIN(RefiLTV*N(Deals!M21),Z21/(RefiDSCR*12*PMT(RefiRate/12,RefiTerm*12,-1)))))</f>
        <v/>
      </c>
      <c r="AC21" s="26" t="str">
        <f aca="false">IF(A21="","",Z21-AB21*12*PMT(RefiRate/12,RefiTerm*12,-1))</f>
        <v/>
      </c>
      <c r="AD21" s="26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26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26" t="str">
        <f aca="false">IF(A21="","",IF(HoldMeasure="Cash-on-cash",AE21,AD21))</f>
        <v/>
      </c>
      <c r="AG21" s="26" t="str">
        <f aca="false">IF(A21="","",((AF21)*(1+BuyerPremium)+IF(N(Deals!S21)=0,0,MIN(N(Deals!S21),MAX(0,N(Deals!S21)+SheriffCostsFromBid-(AF21)*(1-RTTPurchase)))))+AA21)</f>
        <v/>
      </c>
      <c r="AH21" s="27" t="str">
        <f aca="false">IF(A21="","",IFERROR(Z21/AG21,0))</f>
        <v/>
      </c>
      <c r="AI21" s="26" t="str">
        <f aca="false">IF(A21="","",AG21-AB21*(1-RefiCostPct))</f>
        <v/>
      </c>
      <c r="AJ21" s="27" t="str">
        <f aca="false">IF(A21="","",IF(AI21&lt;=0,"All cash out",AC21/AI21))</f>
        <v/>
      </c>
      <c r="AK21" s="26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26" t="str">
        <f aca="false">IF(OR(A21="",N(Deals!U21)=0),"",Deals!U21*N(Deals!W21))</f>
        <v/>
      </c>
      <c r="AM21" s="26" t="str">
        <f aca="false">IF(AL21="","",DemoCost+N(Deals!V21)*BuildCostPSF*(1+SoftCostPct)+P21*(DeedMonths+K21*EjectMonths+BuildMonths+SellMonths)+Q21+AL21*(BrokerPct+SellerRTT+SellClosingPct+ConcessionsPct))</f>
        <v/>
      </c>
      <c r="AN21" s="26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false" outlineLevel="0" collapsed="false">
      <c r="A22" s="22" t="str">
        <f aca="false">IF(Deals!A22="","",Deals!A22)</f>
        <v/>
      </c>
      <c r="B22" s="0" t="str">
        <f aca="false">IF(A22="","",Deals!B22)</f>
        <v/>
      </c>
      <c r="C22" s="21" t="str">
        <f aca="false">IF(A22="","",IF(MAX(V22,AF22)&lt;=0,"Pass",IF(V22&gt;=AF22,"Flip","Value-add hold")))</f>
        <v/>
      </c>
      <c r="D22" s="23" t="str">
        <f aca="false">IF(A22="","",MAX(V22,AF22))</f>
        <v/>
      </c>
      <c r="E22" s="24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3" t="str">
        <f aca="false">IF(A22="","",IF(C22="Flip",W22,IF(C22="Value-add hold",AG22,0)))</f>
        <v/>
      </c>
      <c r="G22" s="24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1" t="str">
        <f aca="false">IF(A22="","",IF(C22="Flip",IF(W22&lt;=FlipCeiling,"In $300k flip box","Over flip ceiling: needs to be exceptional"),IF(C22="Value-add hold","Value-add","")))</f>
        <v/>
      </c>
      <c r="I22" s="24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4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2" t="str">
        <f aca="false">IF(A22="","",IF(OR(Deals!Q22="Occupied",AND(Deals!Q22&lt;&gt;"Vacant",UnknownAsOccupied="Y")),1,0))</f>
        <v/>
      </c>
      <c r="L22" s="25" t="str">
        <f aca="false">IF(A22="","",IFERROR(INDEX(ScopeMonths,MATCH(Deals!O22,ScopeNames,0)),INDEX(ScopeMonths,3)))</f>
        <v/>
      </c>
      <c r="M22" s="25" t="str">
        <f aca="false">IF(A22="","",DeedMonths+K22*EjectMonths+L22+SellMonths)</f>
        <v/>
      </c>
      <c r="N22" s="25" t="str">
        <f aca="false">IF(A22="","",DeedMonths+K22*EjectMonths+L22+LeaseUpMonths)</f>
        <v/>
      </c>
      <c r="O22" s="26" t="str">
        <f aca="false">IF(A22="","",N(Deals!G22)*IFERROR(INDEX(ScopePSF,MATCH(Deals!O22,ScopeNames,0)),INDEX(ScopePSF,3))*(1+Contingency)+BlindAllowance+N(Deals!P22))</f>
        <v/>
      </c>
      <c r="P22" s="26" t="str">
        <f aca="false">IF(A22="","",IF(N(Deals!K22)&gt;0,Deals!K22,N(Deals!M22))*TaxRate/12+VacantInsMo+SecuringMo+UtilitiesMo+N(Deals!T22))</f>
        <v/>
      </c>
      <c r="Q22" s="26" t="str">
        <f aca="false">IF(A22="","",SheriffFees+PurchaseTitle+CompelDeedLegal+K22*PossessionCost+N(Deals!R22)+N(Deals!T22)*HOAArrearsMonths)</f>
        <v/>
      </c>
      <c r="R22" s="26" t="str">
        <f aca="false">IF(A22="","",N(Deals!M22)*(BrokerPct+SellerRTT+SellClosingPct+ConcessionsPct))</f>
        <v/>
      </c>
      <c r="S22" s="26" t="str">
        <f aca="false">IF(A22="","",Q22+O22+P22*M22)</f>
        <v/>
      </c>
      <c r="T22" s="26" t="str">
        <f aca="false">IF(A22="","",N(Deals!M22)-R22-S22)</f>
        <v/>
      </c>
      <c r="U22" s="26" t="str">
        <f aca="false">IF(A22="","",MIN(T22-FlipTarget,(T22-FlipMinAnnROI*M22/12*S22)/(1+FlipMinAnnROI*M22/12)))</f>
        <v/>
      </c>
      <c r="V22" s="26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26" t="str">
        <f aca="false">IF(A22="","",((V22)*(1+BuyerPremium)+IF(N(Deals!S22)=0,0,MIN(N(Deals!S22),MAX(0,N(Deals!S22)+SheriffCostsFromBid-(V22)*(1-RTTPurchase)))))+S22)</f>
        <v/>
      </c>
      <c r="X22" s="26" t="str">
        <f aca="false">IF(A22="","",T22-((V22)*(1+BuyerPremium)+IF(N(Deals!S22)=0,0,MIN(N(Deals!S22),MAX(0,N(Deals!S22)+SheriffCostsFromBid-(V22)*(1-RTTPurchase))))))</f>
        <v/>
      </c>
      <c r="Y22" s="27" t="str">
        <f aca="false">IF(A22="","",IFERROR(X22/W22/(M22/12),0))</f>
        <v/>
      </c>
      <c r="Z22" s="26" t="str">
        <f aca="false">IF(A22="","",N(Deals!N22)*12*(1-Vacancy)*(1-MgmtPct-MaintPct-CapexPct)-N(Deals!M22)*TaxRate-MAX(1,N(Deals!J22))*(InsPerUnit+WaterPerUnit)-N(Deals!T22)*12)</f>
        <v/>
      </c>
      <c r="AA22" s="26" t="str">
        <f aca="false">IF(A22="","",Q22+O22+P22*N22)</f>
        <v/>
      </c>
      <c r="AB22" s="26" t="str">
        <f aca="false">IF(A22="","",MAX(0,MIN(RefiLTV*N(Deals!M22),Z22/(RefiDSCR*12*PMT(RefiRate/12,RefiTerm*12,-1)))))</f>
        <v/>
      </c>
      <c r="AC22" s="26" t="str">
        <f aca="false">IF(A22="","",Z22-AB22*12*PMT(RefiRate/12,RefiTerm*12,-1))</f>
        <v/>
      </c>
      <c r="AD22" s="26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26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26" t="str">
        <f aca="false">IF(A22="","",IF(HoldMeasure="Cash-on-cash",AE22,AD22))</f>
        <v/>
      </c>
      <c r="AG22" s="26" t="str">
        <f aca="false">IF(A22="","",((AF22)*(1+BuyerPremium)+IF(N(Deals!S22)=0,0,MIN(N(Deals!S22),MAX(0,N(Deals!S22)+SheriffCostsFromBid-(AF22)*(1-RTTPurchase)))))+AA22)</f>
        <v/>
      </c>
      <c r="AH22" s="27" t="str">
        <f aca="false">IF(A22="","",IFERROR(Z22/AG22,0))</f>
        <v/>
      </c>
      <c r="AI22" s="26" t="str">
        <f aca="false">IF(A22="","",AG22-AB22*(1-RefiCostPct))</f>
        <v/>
      </c>
      <c r="AJ22" s="27" t="str">
        <f aca="false">IF(A22="","",IF(AI22&lt;=0,"All cash out",AC22/AI22))</f>
        <v/>
      </c>
      <c r="AK22" s="26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26" t="str">
        <f aca="false">IF(OR(A22="",N(Deals!U22)=0),"",Deals!U22*N(Deals!W22))</f>
        <v/>
      </c>
      <c r="AM22" s="26" t="str">
        <f aca="false">IF(AL22="","",DemoCost+N(Deals!V22)*BuildCostPSF*(1+SoftCostPct)+P22*(DeedMonths+K22*EjectMonths+BuildMonths+SellMonths)+Q22+AL22*(BrokerPct+SellerRTT+SellClosingPct+ConcessionsPct))</f>
        <v/>
      </c>
      <c r="AN22" s="26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false" outlineLevel="0" collapsed="false">
      <c r="A23" s="22" t="str">
        <f aca="false">IF(Deals!A23="","",Deals!A23)</f>
        <v/>
      </c>
      <c r="B23" s="0" t="str">
        <f aca="false">IF(A23="","",Deals!B23)</f>
        <v/>
      </c>
      <c r="C23" s="21" t="str">
        <f aca="false">IF(A23="","",IF(MAX(V23,AF23)&lt;=0,"Pass",IF(V23&gt;=AF23,"Flip","Value-add hold")))</f>
        <v/>
      </c>
      <c r="D23" s="23" t="str">
        <f aca="false">IF(A23="","",MAX(V23,AF23))</f>
        <v/>
      </c>
      <c r="E23" s="24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3" t="str">
        <f aca="false">IF(A23="","",IF(C23="Flip",W23,IF(C23="Value-add hold",AG23,0)))</f>
        <v/>
      </c>
      <c r="G23" s="24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1" t="str">
        <f aca="false">IF(A23="","",IF(C23="Flip",IF(W23&lt;=FlipCeiling,"In $300k flip box","Over flip ceiling: needs to be exceptional"),IF(C23="Value-add hold","Value-add","")))</f>
        <v/>
      </c>
      <c r="I23" s="24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4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2" t="str">
        <f aca="false">IF(A23="","",IF(OR(Deals!Q23="Occupied",AND(Deals!Q23&lt;&gt;"Vacant",UnknownAsOccupied="Y")),1,0))</f>
        <v/>
      </c>
      <c r="L23" s="25" t="str">
        <f aca="false">IF(A23="","",IFERROR(INDEX(ScopeMonths,MATCH(Deals!O23,ScopeNames,0)),INDEX(ScopeMonths,3)))</f>
        <v/>
      </c>
      <c r="M23" s="25" t="str">
        <f aca="false">IF(A23="","",DeedMonths+K23*EjectMonths+L23+SellMonths)</f>
        <v/>
      </c>
      <c r="N23" s="25" t="str">
        <f aca="false">IF(A23="","",DeedMonths+K23*EjectMonths+L23+LeaseUpMonths)</f>
        <v/>
      </c>
      <c r="O23" s="26" t="str">
        <f aca="false">IF(A23="","",N(Deals!G23)*IFERROR(INDEX(ScopePSF,MATCH(Deals!O23,ScopeNames,0)),INDEX(ScopePSF,3))*(1+Contingency)+BlindAllowance+N(Deals!P23))</f>
        <v/>
      </c>
      <c r="P23" s="26" t="str">
        <f aca="false">IF(A23="","",IF(N(Deals!K23)&gt;0,Deals!K23,N(Deals!M23))*TaxRate/12+VacantInsMo+SecuringMo+UtilitiesMo+N(Deals!T23))</f>
        <v/>
      </c>
      <c r="Q23" s="26" t="str">
        <f aca="false">IF(A23="","",SheriffFees+PurchaseTitle+CompelDeedLegal+K23*PossessionCost+N(Deals!R23)+N(Deals!T23)*HOAArrearsMonths)</f>
        <v/>
      </c>
      <c r="R23" s="26" t="str">
        <f aca="false">IF(A23="","",N(Deals!M23)*(BrokerPct+SellerRTT+SellClosingPct+ConcessionsPct))</f>
        <v/>
      </c>
      <c r="S23" s="26" t="str">
        <f aca="false">IF(A23="","",Q23+O23+P23*M23)</f>
        <v/>
      </c>
      <c r="T23" s="26" t="str">
        <f aca="false">IF(A23="","",N(Deals!M23)-R23-S23)</f>
        <v/>
      </c>
      <c r="U23" s="26" t="str">
        <f aca="false">IF(A23="","",MIN(T23-FlipTarget,(T23-FlipMinAnnROI*M23/12*S23)/(1+FlipMinAnnROI*M23/12)))</f>
        <v/>
      </c>
      <c r="V23" s="26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26" t="str">
        <f aca="false">IF(A23="","",((V23)*(1+BuyerPremium)+IF(N(Deals!S23)=0,0,MIN(N(Deals!S23),MAX(0,N(Deals!S23)+SheriffCostsFromBid-(V23)*(1-RTTPurchase)))))+S23)</f>
        <v/>
      </c>
      <c r="X23" s="26" t="str">
        <f aca="false">IF(A23="","",T23-((V23)*(1+BuyerPremium)+IF(N(Deals!S23)=0,0,MIN(N(Deals!S23),MAX(0,N(Deals!S23)+SheriffCostsFromBid-(V23)*(1-RTTPurchase))))))</f>
        <v/>
      </c>
      <c r="Y23" s="27" t="str">
        <f aca="false">IF(A23="","",IFERROR(X23/W23/(M23/12),0))</f>
        <v/>
      </c>
      <c r="Z23" s="26" t="str">
        <f aca="false">IF(A23="","",N(Deals!N23)*12*(1-Vacancy)*(1-MgmtPct-MaintPct-CapexPct)-N(Deals!M23)*TaxRate-MAX(1,N(Deals!J23))*(InsPerUnit+WaterPerUnit)-N(Deals!T23)*12)</f>
        <v/>
      </c>
      <c r="AA23" s="26" t="str">
        <f aca="false">IF(A23="","",Q23+O23+P23*N23)</f>
        <v/>
      </c>
      <c r="AB23" s="26" t="str">
        <f aca="false">IF(A23="","",MAX(0,MIN(RefiLTV*N(Deals!M23),Z23/(RefiDSCR*12*PMT(RefiRate/12,RefiTerm*12,-1)))))</f>
        <v/>
      </c>
      <c r="AC23" s="26" t="str">
        <f aca="false">IF(A23="","",Z23-AB23*12*PMT(RefiRate/12,RefiTerm*12,-1))</f>
        <v/>
      </c>
      <c r="AD23" s="26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26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26" t="str">
        <f aca="false">IF(A23="","",IF(HoldMeasure="Cash-on-cash",AE23,AD23))</f>
        <v/>
      </c>
      <c r="AG23" s="26" t="str">
        <f aca="false">IF(A23="","",((AF23)*(1+BuyerPremium)+IF(N(Deals!S23)=0,0,MIN(N(Deals!S23),MAX(0,N(Deals!S23)+SheriffCostsFromBid-(AF23)*(1-RTTPurchase)))))+AA23)</f>
        <v/>
      </c>
      <c r="AH23" s="27" t="str">
        <f aca="false">IF(A23="","",IFERROR(Z23/AG23,0))</f>
        <v/>
      </c>
      <c r="AI23" s="26" t="str">
        <f aca="false">IF(A23="","",AG23-AB23*(1-RefiCostPct))</f>
        <v/>
      </c>
      <c r="AJ23" s="27" t="str">
        <f aca="false">IF(A23="","",IF(AI23&lt;=0,"All cash out",AC23/AI23))</f>
        <v/>
      </c>
      <c r="AK23" s="26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26" t="str">
        <f aca="false">IF(OR(A23="",N(Deals!U23)=0),"",Deals!U23*N(Deals!W23))</f>
        <v/>
      </c>
      <c r="AM23" s="26" t="str">
        <f aca="false">IF(AL23="","",DemoCost+N(Deals!V23)*BuildCostPSF*(1+SoftCostPct)+P23*(DeedMonths+K23*EjectMonths+BuildMonths+SellMonths)+Q23+AL23*(BrokerPct+SellerRTT+SellClosingPct+ConcessionsPct))</f>
        <v/>
      </c>
      <c r="AN23" s="26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false" outlineLevel="0" collapsed="false">
      <c r="A24" s="22" t="str">
        <f aca="false">IF(Deals!A24="","",Deals!A24)</f>
        <v/>
      </c>
      <c r="B24" s="0" t="str">
        <f aca="false">IF(A24="","",Deals!B24)</f>
        <v/>
      </c>
      <c r="C24" s="21" t="str">
        <f aca="false">IF(A24="","",IF(MAX(V24,AF24)&lt;=0,"Pass",IF(V24&gt;=AF24,"Flip","Value-add hold")))</f>
        <v/>
      </c>
      <c r="D24" s="23" t="str">
        <f aca="false">IF(A24="","",MAX(V24,AF24))</f>
        <v/>
      </c>
      <c r="E24" s="24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3" t="str">
        <f aca="false">IF(A24="","",IF(C24="Flip",W24,IF(C24="Value-add hold",AG24,0)))</f>
        <v/>
      </c>
      <c r="G24" s="24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1" t="str">
        <f aca="false">IF(A24="","",IF(C24="Flip",IF(W24&lt;=FlipCeiling,"In $300k flip box","Over flip ceiling: needs to be exceptional"),IF(C24="Value-add hold","Value-add","")))</f>
        <v/>
      </c>
      <c r="I24" s="24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4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2" t="str">
        <f aca="false">IF(A24="","",IF(OR(Deals!Q24="Occupied",AND(Deals!Q24&lt;&gt;"Vacant",UnknownAsOccupied="Y")),1,0))</f>
        <v/>
      </c>
      <c r="L24" s="25" t="str">
        <f aca="false">IF(A24="","",IFERROR(INDEX(ScopeMonths,MATCH(Deals!O24,ScopeNames,0)),INDEX(ScopeMonths,3)))</f>
        <v/>
      </c>
      <c r="M24" s="25" t="str">
        <f aca="false">IF(A24="","",DeedMonths+K24*EjectMonths+L24+SellMonths)</f>
        <v/>
      </c>
      <c r="N24" s="25" t="str">
        <f aca="false">IF(A24="","",DeedMonths+K24*EjectMonths+L24+LeaseUpMonths)</f>
        <v/>
      </c>
      <c r="O24" s="26" t="str">
        <f aca="false">IF(A24="","",N(Deals!G24)*IFERROR(INDEX(ScopePSF,MATCH(Deals!O24,ScopeNames,0)),INDEX(ScopePSF,3))*(1+Contingency)+BlindAllowance+N(Deals!P24))</f>
        <v/>
      </c>
      <c r="P24" s="26" t="str">
        <f aca="false">IF(A24="","",IF(N(Deals!K24)&gt;0,Deals!K24,N(Deals!M24))*TaxRate/12+VacantInsMo+SecuringMo+UtilitiesMo+N(Deals!T24))</f>
        <v/>
      </c>
      <c r="Q24" s="26" t="str">
        <f aca="false">IF(A24="","",SheriffFees+PurchaseTitle+CompelDeedLegal+K24*PossessionCost+N(Deals!R24)+N(Deals!T24)*HOAArrearsMonths)</f>
        <v/>
      </c>
      <c r="R24" s="26" t="str">
        <f aca="false">IF(A24="","",N(Deals!M24)*(BrokerPct+SellerRTT+SellClosingPct+ConcessionsPct))</f>
        <v/>
      </c>
      <c r="S24" s="26" t="str">
        <f aca="false">IF(A24="","",Q24+O24+P24*M24)</f>
        <v/>
      </c>
      <c r="T24" s="26" t="str">
        <f aca="false">IF(A24="","",N(Deals!M24)-R24-S24)</f>
        <v/>
      </c>
      <c r="U24" s="26" t="str">
        <f aca="false">IF(A24="","",MIN(T24-FlipTarget,(T24-FlipMinAnnROI*M24/12*S24)/(1+FlipMinAnnROI*M24/12)))</f>
        <v/>
      </c>
      <c r="V24" s="26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26" t="str">
        <f aca="false">IF(A24="","",((V24)*(1+BuyerPremium)+IF(N(Deals!S24)=0,0,MIN(N(Deals!S24),MAX(0,N(Deals!S24)+SheriffCostsFromBid-(V24)*(1-RTTPurchase)))))+S24)</f>
        <v/>
      </c>
      <c r="X24" s="26" t="str">
        <f aca="false">IF(A24="","",T24-((V24)*(1+BuyerPremium)+IF(N(Deals!S24)=0,0,MIN(N(Deals!S24),MAX(0,N(Deals!S24)+SheriffCostsFromBid-(V24)*(1-RTTPurchase))))))</f>
        <v/>
      </c>
      <c r="Y24" s="27" t="str">
        <f aca="false">IF(A24="","",IFERROR(X24/W24/(M24/12),0))</f>
        <v/>
      </c>
      <c r="Z24" s="26" t="str">
        <f aca="false">IF(A24="","",N(Deals!N24)*12*(1-Vacancy)*(1-MgmtPct-MaintPct-CapexPct)-N(Deals!M24)*TaxRate-MAX(1,N(Deals!J24))*(InsPerUnit+WaterPerUnit)-N(Deals!T24)*12)</f>
        <v/>
      </c>
      <c r="AA24" s="26" t="str">
        <f aca="false">IF(A24="","",Q24+O24+P24*N24)</f>
        <v/>
      </c>
      <c r="AB24" s="26" t="str">
        <f aca="false">IF(A24="","",MAX(0,MIN(RefiLTV*N(Deals!M24),Z24/(RefiDSCR*12*PMT(RefiRate/12,RefiTerm*12,-1)))))</f>
        <v/>
      </c>
      <c r="AC24" s="26" t="str">
        <f aca="false">IF(A24="","",Z24-AB24*12*PMT(RefiRate/12,RefiTerm*12,-1))</f>
        <v/>
      </c>
      <c r="AD24" s="26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26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26" t="str">
        <f aca="false">IF(A24="","",IF(HoldMeasure="Cash-on-cash",AE24,AD24))</f>
        <v/>
      </c>
      <c r="AG24" s="26" t="str">
        <f aca="false">IF(A24="","",((AF24)*(1+BuyerPremium)+IF(N(Deals!S24)=0,0,MIN(N(Deals!S24),MAX(0,N(Deals!S24)+SheriffCostsFromBid-(AF24)*(1-RTTPurchase)))))+AA24)</f>
        <v/>
      </c>
      <c r="AH24" s="27" t="str">
        <f aca="false">IF(A24="","",IFERROR(Z24/AG24,0))</f>
        <v/>
      </c>
      <c r="AI24" s="26" t="str">
        <f aca="false">IF(A24="","",AG24-AB24*(1-RefiCostPct))</f>
        <v/>
      </c>
      <c r="AJ24" s="27" t="str">
        <f aca="false">IF(A24="","",IF(AI24&lt;=0,"All cash out",AC24/AI24))</f>
        <v/>
      </c>
      <c r="AK24" s="26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26" t="str">
        <f aca="false">IF(OR(A24="",N(Deals!U24)=0),"",Deals!U24*N(Deals!W24))</f>
        <v/>
      </c>
      <c r="AM24" s="26" t="str">
        <f aca="false">IF(AL24="","",DemoCost+N(Deals!V24)*BuildCostPSF*(1+SoftCostPct)+P24*(DeedMonths+K24*EjectMonths+BuildMonths+SellMonths)+Q24+AL24*(BrokerPct+SellerRTT+SellClosingPct+ConcessionsPct))</f>
        <v/>
      </c>
      <c r="AN24" s="26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false" outlineLevel="0" collapsed="false">
      <c r="A25" s="22" t="str">
        <f aca="false">IF(Deals!A25="","",Deals!A25)</f>
        <v/>
      </c>
      <c r="B25" s="0" t="str">
        <f aca="false">IF(A25="","",Deals!B25)</f>
        <v/>
      </c>
      <c r="C25" s="21" t="str">
        <f aca="false">IF(A25="","",IF(MAX(V25,AF25)&lt;=0,"Pass",IF(V25&gt;=AF25,"Flip","Value-add hold")))</f>
        <v/>
      </c>
      <c r="D25" s="23" t="str">
        <f aca="false">IF(A25="","",MAX(V25,AF25))</f>
        <v/>
      </c>
      <c r="E25" s="24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3" t="str">
        <f aca="false">IF(A25="","",IF(C25="Flip",W25,IF(C25="Value-add hold",AG25,0)))</f>
        <v/>
      </c>
      <c r="G25" s="24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1" t="str">
        <f aca="false">IF(A25="","",IF(C25="Flip",IF(W25&lt;=FlipCeiling,"In $300k flip box","Over flip ceiling: needs to be exceptional"),IF(C25="Value-add hold","Value-add","")))</f>
        <v/>
      </c>
      <c r="I25" s="24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4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2" t="str">
        <f aca="false">IF(A25="","",IF(OR(Deals!Q25="Occupied",AND(Deals!Q25&lt;&gt;"Vacant",UnknownAsOccupied="Y")),1,0))</f>
        <v/>
      </c>
      <c r="L25" s="25" t="str">
        <f aca="false">IF(A25="","",IFERROR(INDEX(ScopeMonths,MATCH(Deals!O25,ScopeNames,0)),INDEX(ScopeMonths,3)))</f>
        <v/>
      </c>
      <c r="M25" s="25" t="str">
        <f aca="false">IF(A25="","",DeedMonths+K25*EjectMonths+L25+SellMonths)</f>
        <v/>
      </c>
      <c r="N25" s="25" t="str">
        <f aca="false">IF(A25="","",DeedMonths+K25*EjectMonths+L25+LeaseUpMonths)</f>
        <v/>
      </c>
      <c r="O25" s="26" t="str">
        <f aca="false">IF(A25="","",N(Deals!G25)*IFERROR(INDEX(ScopePSF,MATCH(Deals!O25,ScopeNames,0)),INDEX(ScopePSF,3))*(1+Contingency)+BlindAllowance+N(Deals!P25))</f>
        <v/>
      </c>
      <c r="P25" s="26" t="str">
        <f aca="false">IF(A25="","",IF(N(Deals!K25)&gt;0,Deals!K25,N(Deals!M25))*TaxRate/12+VacantInsMo+SecuringMo+UtilitiesMo+N(Deals!T25))</f>
        <v/>
      </c>
      <c r="Q25" s="26" t="str">
        <f aca="false">IF(A25="","",SheriffFees+PurchaseTitle+CompelDeedLegal+K25*PossessionCost+N(Deals!R25)+N(Deals!T25)*HOAArrearsMonths)</f>
        <v/>
      </c>
      <c r="R25" s="26" t="str">
        <f aca="false">IF(A25="","",N(Deals!M25)*(BrokerPct+SellerRTT+SellClosingPct+ConcessionsPct))</f>
        <v/>
      </c>
      <c r="S25" s="26" t="str">
        <f aca="false">IF(A25="","",Q25+O25+P25*M25)</f>
        <v/>
      </c>
      <c r="T25" s="26" t="str">
        <f aca="false">IF(A25="","",N(Deals!M25)-R25-S25)</f>
        <v/>
      </c>
      <c r="U25" s="26" t="str">
        <f aca="false">IF(A25="","",MIN(T25-FlipTarget,(T25-FlipMinAnnROI*M25/12*S25)/(1+FlipMinAnnROI*M25/12)))</f>
        <v/>
      </c>
      <c r="V25" s="26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26" t="str">
        <f aca="false">IF(A25="","",((V25)*(1+BuyerPremium)+IF(N(Deals!S25)=0,0,MIN(N(Deals!S25),MAX(0,N(Deals!S25)+SheriffCostsFromBid-(V25)*(1-RTTPurchase)))))+S25)</f>
        <v/>
      </c>
      <c r="X25" s="26" t="str">
        <f aca="false">IF(A25="","",T25-((V25)*(1+BuyerPremium)+IF(N(Deals!S25)=0,0,MIN(N(Deals!S25),MAX(0,N(Deals!S25)+SheriffCostsFromBid-(V25)*(1-RTTPurchase))))))</f>
        <v/>
      </c>
      <c r="Y25" s="27" t="str">
        <f aca="false">IF(A25="","",IFERROR(X25/W25/(M25/12),0))</f>
        <v/>
      </c>
      <c r="Z25" s="26" t="str">
        <f aca="false">IF(A25="","",N(Deals!N25)*12*(1-Vacancy)*(1-MgmtPct-MaintPct-CapexPct)-N(Deals!M25)*TaxRate-MAX(1,N(Deals!J25))*(InsPerUnit+WaterPerUnit)-N(Deals!T25)*12)</f>
        <v/>
      </c>
      <c r="AA25" s="26" t="str">
        <f aca="false">IF(A25="","",Q25+O25+P25*N25)</f>
        <v/>
      </c>
      <c r="AB25" s="26" t="str">
        <f aca="false">IF(A25="","",MAX(0,MIN(RefiLTV*N(Deals!M25),Z25/(RefiDSCR*12*PMT(RefiRate/12,RefiTerm*12,-1)))))</f>
        <v/>
      </c>
      <c r="AC25" s="26" t="str">
        <f aca="false">IF(A25="","",Z25-AB25*12*PMT(RefiRate/12,RefiTerm*12,-1))</f>
        <v/>
      </c>
      <c r="AD25" s="26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26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26" t="str">
        <f aca="false">IF(A25="","",IF(HoldMeasure="Cash-on-cash",AE25,AD25))</f>
        <v/>
      </c>
      <c r="AG25" s="26" t="str">
        <f aca="false">IF(A25="","",((AF25)*(1+BuyerPremium)+IF(N(Deals!S25)=0,0,MIN(N(Deals!S25),MAX(0,N(Deals!S25)+SheriffCostsFromBid-(AF25)*(1-RTTPurchase)))))+AA25)</f>
        <v/>
      </c>
      <c r="AH25" s="27" t="str">
        <f aca="false">IF(A25="","",IFERROR(Z25/AG25,0))</f>
        <v/>
      </c>
      <c r="AI25" s="26" t="str">
        <f aca="false">IF(A25="","",AG25-AB25*(1-RefiCostPct))</f>
        <v/>
      </c>
      <c r="AJ25" s="27" t="str">
        <f aca="false">IF(A25="","",IF(AI25&lt;=0,"All cash out",AC25/AI25))</f>
        <v/>
      </c>
      <c r="AK25" s="26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26" t="str">
        <f aca="false">IF(OR(A25="",N(Deals!U25)=0),"",Deals!U25*N(Deals!W25))</f>
        <v/>
      </c>
      <c r="AM25" s="26" t="str">
        <f aca="false">IF(AL25="","",DemoCost+N(Deals!V25)*BuildCostPSF*(1+SoftCostPct)+P25*(DeedMonths+K25*EjectMonths+BuildMonths+SellMonths)+Q25+AL25*(BrokerPct+SellerRTT+SellClosingPct+ConcessionsPct))</f>
        <v/>
      </c>
      <c r="AN25" s="26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false" outlineLevel="0" collapsed="false">
      <c r="A26" s="22" t="str">
        <f aca="false">IF(Deals!A26="","",Deals!A26)</f>
        <v/>
      </c>
      <c r="B26" s="0" t="str">
        <f aca="false">IF(A26="","",Deals!B26)</f>
        <v/>
      </c>
      <c r="C26" s="21" t="str">
        <f aca="false">IF(A26="","",IF(MAX(V26,AF26)&lt;=0,"Pass",IF(V26&gt;=AF26,"Flip","Value-add hold")))</f>
        <v/>
      </c>
      <c r="D26" s="23" t="str">
        <f aca="false">IF(A26="","",MAX(V26,AF26))</f>
        <v/>
      </c>
      <c r="E26" s="24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3" t="str">
        <f aca="false">IF(A26="","",IF(C26="Flip",W26,IF(C26="Value-add hold",AG26,0)))</f>
        <v/>
      </c>
      <c r="G26" s="24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1" t="str">
        <f aca="false">IF(A26="","",IF(C26="Flip",IF(W26&lt;=FlipCeiling,"In $300k flip box","Over flip ceiling: needs to be exceptional"),IF(C26="Value-add hold","Value-add","")))</f>
        <v/>
      </c>
      <c r="I26" s="24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4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2" t="str">
        <f aca="false">IF(A26="","",IF(OR(Deals!Q26="Occupied",AND(Deals!Q26&lt;&gt;"Vacant",UnknownAsOccupied="Y")),1,0))</f>
        <v/>
      </c>
      <c r="L26" s="25" t="str">
        <f aca="false">IF(A26="","",IFERROR(INDEX(ScopeMonths,MATCH(Deals!O26,ScopeNames,0)),INDEX(ScopeMonths,3)))</f>
        <v/>
      </c>
      <c r="M26" s="25" t="str">
        <f aca="false">IF(A26="","",DeedMonths+K26*EjectMonths+L26+SellMonths)</f>
        <v/>
      </c>
      <c r="N26" s="25" t="str">
        <f aca="false">IF(A26="","",DeedMonths+K26*EjectMonths+L26+LeaseUpMonths)</f>
        <v/>
      </c>
      <c r="O26" s="26" t="str">
        <f aca="false">IF(A26="","",N(Deals!G26)*IFERROR(INDEX(ScopePSF,MATCH(Deals!O26,ScopeNames,0)),INDEX(ScopePSF,3))*(1+Contingency)+BlindAllowance+N(Deals!P26))</f>
        <v/>
      </c>
      <c r="P26" s="26" t="str">
        <f aca="false">IF(A26="","",IF(N(Deals!K26)&gt;0,Deals!K26,N(Deals!M26))*TaxRate/12+VacantInsMo+SecuringMo+UtilitiesMo+N(Deals!T26))</f>
        <v/>
      </c>
      <c r="Q26" s="26" t="str">
        <f aca="false">IF(A26="","",SheriffFees+PurchaseTitle+CompelDeedLegal+K26*PossessionCost+N(Deals!R26)+N(Deals!T26)*HOAArrearsMonths)</f>
        <v/>
      </c>
      <c r="R26" s="26" t="str">
        <f aca="false">IF(A26="","",N(Deals!M26)*(BrokerPct+SellerRTT+SellClosingPct+ConcessionsPct))</f>
        <v/>
      </c>
      <c r="S26" s="26" t="str">
        <f aca="false">IF(A26="","",Q26+O26+P26*M26)</f>
        <v/>
      </c>
      <c r="T26" s="26" t="str">
        <f aca="false">IF(A26="","",N(Deals!M26)-R26-S26)</f>
        <v/>
      </c>
      <c r="U26" s="26" t="str">
        <f aca="false">IF(A26="","",MIN(T26-FlipTarget,(T26-FlipMinAnnROI*M26/12*S26)/(1+FlipMinAnnROI*M26/12)))</f>
        <v/>
      </c>
      <c r="V26" s="26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26" t="str">
        <f aca="false">IF(A26="","",((V26)*(1+BuyerPremium)+IF(N(Deals!S26)=0,0,MIN(N(Deals!S26),MAX(0,N(Deals!S26)+SheriffCostsFromBid-(V26)*(1-RTTPurchase)))))+S26)</f>
        <v/>
      </c>
      <c r="X26" s="26" t="str">
        <f aca="false">IF(A26="","",T26-((V26)*(1+BuyerPremium)+IF(N(Deals!S26)=0,0,MIN(N(Deals!S26),MAX(0,N(Deals!S26)+SheriffCostsFromBid-(V26)*(1-RTTPurchase))))))</f>
        <v/>
      </c>
      <c r="Y26" s="27" t="str">
        <f aca="false">IF(A26="","",IFERROR(X26/W26/(M26/12),0))</f>
        <v/>
      </c>
      <c r="Z26" s="26" t="str">
        <f aca="false">IF(A26="","",N(Deals!N26)*12*(1-Vacancy)*(1-MgmtPct-MaintPct-CapexPct)-N(Deals!M26)*TaxRate-MAX(1,N(Deals!J26))*(InsPerUnit+WaterPerUnit)-N(Deals!T26)*12)</f>
        <v/>
      </c>
      <c r="AA26" s="26" t="str">
        <f aca="false">IF(A26="","",Q26+O26+P26*N26)</f>
        <v/>
      </c>
      <c r="AB26" s="26" t="str">
        <f aca="false">IF(A26="","",MAX(0,MIN(RefiLTV*N(Deals!M26),Z26/(RefiDSCR*12*PMT(RefiRate/12,RefiTerm*12,-1)))))</f>
        <v/>
      </c>
      <c r="AC26" s="26" t="str">
        <f aca="false">IF(A26="","",Z26-AB26*12*PMT(RefiRate/12,RefiTerm*12,-1))</f>
        <v/>
      </c>
      <c r="AD26" s="26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26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26" t="str">
        <f aca="false">IF(A26="","",IF(HoldMeasure="Cash-on-cash",AE26,AD26))</f>
        <v/>
      </c>
      <c r="AG26" s="26" t="str">
        <f aca="false">IF(A26="","",((AF26)*(1+BuyerPremium)+IF(N(Deals!S26)=0,0,MIN(N(Deals!S26),MAX(0,N(Deals!S26)+SheriffCostsFromBid-(AF26)*(1-RTTPurchase)))))+AA26)</f>
        <v/>
      </c>
      <c r="AH26" s="27" t="str">
        <f aca="false">IF(A26="","",IFERROR(Z26/AG26,0))</f>
        <v/>
      </c>
      <c r="AI26" s="26" t="str">
        <f aca="false">IF(A26="","",AG26-AB26*(1-RefiCostPct))</f>
        <v/>
      </c>
      <c r="AJ26" s="27" t="str">
        <f aca="false">IF(A26="","",IF(AI26&lt;=0,"All cash out",AC26/AI26))</f>
        <v/>
      </c>
      <c r="AK26" s="26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26" t="str">
        <f aca="false">IF(OR(A26="",N(Deals!U26)=0),"",Deals!U26*N(Deals!W26))</f>
        <v/>
      </c>
      <c r="AM26" s="26" t="str">
        <f aca="false">IF(AL26="","",DemoCost+N(Deals!V26)*BuildCostPSF*(1+SoftCostPct)+P26*(DeedMonths+K26*EjectMonths+BuildMonths+SellMonths)+Q26+AL26*(BrokerPct+SellerRTT+SellClosingPct+ConcessionsPct))</f>
        <v/>
      </c>
      <c r="AN26" s="26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false" outlineLevel="0" collapsed="false">
      <c r="A27" s="22" t="str">
        <f aca="false">IF(Deals!A27="","",Deals!A27)</f>
        <v/>
      </c>
      <c r="B27" s="0" t="str">
        <f aca="false">IF(A27="","",Deals!B27)</f>
        <v/>
      </c>
      <c r="C27" s="21" t="str">
        <f aca="false">IF(A27="","",IF(MAX(V27,AF27)&lt;=0,"Pass",IF(V27&gt;=AF27,"Flip","Value-add hold")))</f>
        <v/>
      </c>
      <c r="D27" s="23" t="str">
        <f aca="false">IF(A27="","",MAX(V27,AF27))</f>
        <v/>
      </c>
      <c r="E27" s="24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3" t="str">
        <f aca="false">IF(A27="","",IF(C27="Flip",W27,IF(C27="Value-add hold",AG27,0)))</f>
        <v/>
      </c>
      <c r="G27" s="24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1" t="str">
        <f aca="false">IF(A27="","",IF(C27="Flip",IF(W27&lt;=FlipCeiling,"In $300k flip box","Over flip ceiling: needs to be exceptional"),IF(C27="Value-add hold","Value-add","")))</f>
        <v/>
      </c>
      <c r="I27" s="24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4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2" t="str">
        <f aca="false">IF(A27="","",IF(OR(Deals!Q27="Occupied",AND(Deals!Q27&lt;&gt;"Vacant",UnknownAsOccupied="Y")),1,0))</f>
        <v/>
      </c>
      <c r="L27" s="25" t="str">
        <f aca="false">IF(A27="","",IFERROR(INDEX(ScopeMonths,MATCH(Deals!O27,ScopeNames,0)),INDEX(ScopeMonths,3)))</f>
        <v/>
      </c>
      <c r="M27" s="25" t="str">
        <f aca="false">IF(A27="","",DeedMonths+K27*EjectMonths+L27+SellMonths)</f>
        <v/>
      </c>
      <c r="N27" s="25" t="str">
        <f aca="false">IF(A27="","",DeedMonths+K27*EjectMonths+L27+LeaseUpMonths)</f>
        <v/>
      </c>
      <c r="O27" s="26" t="str">
        <f aca="false">IF(A27="","",N(Deals!G27)*IFERROR(INDEX(ScopePSF,MATCH(Deals!O27,ScopeNames,0)),INDEX(ScopePSF,3))*(1+Contingency)+BlindAllowance+N(Deals!P27))</f>
        <v/>
      </c>
      <c r="P27" s="26" t="str">
        <f aca="false">IF(A27="","",IF(N(Deals!K27)&gt;0,Deals!K27,N(Deals!M27))*TaxRate/12+VacantInsMo+SecuringMo+UtilitiesMo+N(Deals!T27))</f>
        <v/>
      </c>
      <c r="Q27" s="26" t="str">
        <f aca="false">IF(A27="","",SheriffFees+PurchaseTitle+CompelDeedLegal+K27*PossessionCost+N(Deals!R27)+N(Deals!T27)*HOAArrearsMonths)</f>
        <v/>
      </c>
      <c r="R27" s="26" t="str">
        <f aca="false">IF(A27="","",N(Deals!M27)*(BrokerPct+SellerRTT+SellClosingPct+ConcessionsPct))</f>
        <v/>
      </c>
      <c r="S27" s="26" t="str">
        <f aca="false">IF(A27="","",Q27+O27+P27*M27)</f>
        <v/>
      </c>
      <c r="T27" s="26" t="str">
        <f aca="false">IF(A27="","",N(Deals!M27)-R27-S27)</f>
        <v/>
      </c>
      <c r="U27" s="26" t="str">
        <f aca="false">IF(A27="","",MIN(T27-FlipTarget,(T27-FlipMinAnnROI*M27/12*S27)/(1+FlipMinAnnROI*M27/12)))</f>
        <v/>
      </c>
      <c r="V27" s="26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26" t="str">
        <f aca="false">IF(A27="","",((V27)*(1+BuyerPremium)+IF(N(Deals!S27)=0,0,MIN(N(Deals!S27),MAX(0,N(Deals!S27)+SheriffCostsFromBid-(V27)*(1-RTTPurchase)))))+S27)</f>
        <v/>
      </c>
      <c r="X27" s="26" t="str">
        <f aca="false">IF(A27="","",T27-((V27)*(1+BuyerPremium)+IF(N(Deals!S27)=0,0,MIN(N(Deals!S27),MAX(0,N(Deals!S27)+SheriffCostsFromBid-(V27)*(1-RTTPurchase))))))</f>
        <v/>
      </c>
      <c r="Y27" s="27" t="str">
        <f aca="false">IF(A27="","",IFERROR(X27/W27/(M27/12),0))</f>
        <v/>
      </c>
      <c r="Z27" s="26" t="str">
        <f aca="false">IF(A27="","",N(Deals!N27)*12*(1-Vacancy)*(1-MgmtPct-MaintPct-CapexPct)-N(Deals!M27)*TaxRate-MAX(1,N(Deals!J27))*(InsPerUnit+WaterPerUnit)-N(Deals!T27)*12)</f>
        <v/>
      </c>
      <c r="AA27" s="26" t="str">
        <f aca="false">IF(A27="","",Q27+O27+P27*N27)</f>
        <v/>
      </c>
      <c r="AB27" s="26" t="str">
        <f aca="false">IF(A27="","",MAX(0,MIN(RefiLTV*N(Deals!M27),Z27/(RefiDSCR*12*PMT(RefiRate/12,RefiTerm*12,-1)))))</f>
        <v/>
      </c>
      <c r="AC27" s="26" t="str">
        <f aca="false">IF(A27="","",Z27-AB27*12*PMT(RefiRate/12,RefiTerm*12,-1))</f>
        <v/>
      </c>
      <c r="AD27" s="26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26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26" t="str">
        <f aca="false">IF(A27="","",IF(HoldMeasure="Cash-on-cash",AE27,AD27))</f>
        <v/>
      </c>
      <c r="AG27" s="26" t="str">
        <f aca="false">IF(A27="","",((AF27)*(1+BuyerPremium)+IF(N(Deals!S27)=0,0,MIN(N(Deals!S27),MAX(0,N(Deals!S27)+SheriffCostsFromBid-(AF27)*(1-RTTPurchase)))))+AA27)</f>
        <v/>
      </c>
      <c r="AH27" s="27" t="str">
        <f aca="false">IF(A27="","",IFERROR(Z27/AG27,0))</f>
        <v/>
      </c>
      <c r="AI27" s="26" t="str">
        <f aca="false">IF(A27="","",AG27-AB27*(1-RefiCostPct))</f>
        <v/>
      </c>
      <c r="AJ27" s="27" t="str">
        <f aca="false">IF(A27="","",IF(AI27&lt;=0,"All cash out",AC27/AI27))</f>
        <v/>
      </c>
      <c r="AK27" s="26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26" t="str">
        <f aca="false">IF(OR(A27="",N(Deals!U27)=0),"",Deals!U27*N(Deals!W27))</f>
        <v/>
      </c>
      <c r="AM27" s="26" t="str">
        <f aca="false">IF(AL27="","",DemoCost+N(Deals!V27)*BuildCostPSF*(1+SoftCostPct)+P27*(DeedMonths+K27*EjectMonths+BuildMonths+SellMonths)+Q27+AL27*(BrokerPct+SellerRTT+SellClosingPct+ConcessionsPct))</f>
        <v/>
      </c>
      <c r="AN27" s="26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false" outlineLevel="0" collapsed="false">
      <c r="A28" s="22" t="str">
        <f aca="false">IF(Deals!A28="","",Deals!A28)</f>
        <v/>
      </c>
      <c r="B28" s="0" t="str">
        <f aca="false">IF(A28="","",Deals!B28)</f>
        <v/>
      </c>
      <c r="C28" s="21" t="str">
        <f aca="false">IF(A28="","",IF(MAX(V28,AF28)&lt;=0,"Pass",IF(V28&gt;=AF28,"Flip","Value-add hold")))</f>
        <v/>
      </c>
      <c r="D28" s="23" t="str">
        <f aca="false">IF(A28="","",MAX(V28,AF28))</f>
        <v/>
      </c>
      <c r="E28" s="24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3" t="str">
        <f aca="false">IF(A28="","",IF(C28="Flip",W28,IF(C28="Value-add hold",AG28,0)))</f>
        <v/>
      </c>
      <c r="G28" s="24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1" t="str">
        <f aca="false">IF(A28="","",IF(C28="Flip",IF(W28&lt;=FlipCeiling,"In $300k flip box","Over flip ceiling: needs to be exceptional"),IF(C28="Value-add hold","Value-add","")))</f>
        <v/>
      </c>
      <c r="I28" s="24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4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2" t="str">
        <f aca="false">IF(A28="","",IF(OR(Deals!Q28="Occupied",AND(Deals!Q28&lt;&gt;"Vacant",UnknownAsOccupied="Y")),1,0))</f>
        <v/>
      </c>
      <c r="L28" s="25" t="str">
        <f aca="false">IF(A28="","",IFERROR(INDEX(ScopeMonths,MATCH(Deals!O28,ScopeNames,0)),INDEX(ScopeMonths,3)))</f>
        <v/>
      </c>
      <c r="M28" s="25" t="str">
        <f aca="false">IF(A28="","",DeedMonths+K28*EjectMonths+L28+SellMonths)</f>
        <v/>
      </c>
      <c r="N28" s="25" t="str">
        <f aca="false">IF(A28="","",DeedMonths+K28*EjectMonths+L28+LeaseUpMonths)</f>
        <v/>
      </c>
      <c r="O28" s="26" t="str">
        <f aca="false">IF(A28="","",N(Deals!G28)*IFERROR(INDEX(ScopePSF,MATCH(Deals!O28,ScopeNames,0)),INDEX(ScopePSF,3))*(1+Contingency)+BlindAllowance+N(Deals!P28))</f>
        <v/>
      </c>
      <c r="P28" s="26" t="str">
        <f aca="false">IF(A28="","",IF(N(Deals!K28)&gt;0,Deals!K28,N(Deals!M28))*TaxRate/12+VacantInsMo+SecuringMo+UtilitiesMo+N(Deals!T28))</f>
        <v/>
      </c>
      <c r="Q28" s="26" t="str">
        <f aca="false">IF(A28="","",SheriffFees+PurchaseTitle+CompelDeedLegal+K28*PossessionCost+N(Deals!R28)+N(Deals!T28)*HOAArrearsMonths)</f>
        <v/>
      </c>
      <c r="R28" s="26" t="str">
        <f aca="false">IF(A28="","",N(Deals!M28)*(BrokerPct+SellerRTT+SellClosingPct+ConcessionsPct))</f>
        <v/>
      </c>
      <c r="S28" s="26" t="str">
        <f aca="false">IF(A28="","",Q28+O28+P28*M28)</f>
        <v/>
      </c>
      <c r="T28" s="26" t="str">
        <f aca="false">IF(A28="","",N(Deals!M28)-R28-S28)</f>
        <v/>
      </c>
      <c r="U28" s="26" t="str">
        <f aca="false">IF(A28="","",MIN(T28-FlipTarget,(T28-FlipMinAnnROI*M28/12*S28)/(1+FlipMinAnnROI*M28/12)))</f>
        <v/>
      </c>
      <c r="V28" s="26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26" t="str">
        <f aca="false">IF(A28="","",((V28)*(1+BuyerPremium)+IF(N(Deals!S28)=0,0,MIN(N(Deals!S28),MAX(0,N(Deals!S28)+SheriffCostsFromBid-(V28)*(1-RTTPurchase)))))+S28)</f>
        <v/>
      </c>
      <c r="X28" s="26" t="str">
        <f aca="false">IF(A28="","",T28-((V28)*(1+BuyerPremium)+IF(N(Deals!S28)=0,0,MIN(N(Deals!S28),MAX(0,N(Deals!S28)+SheriffCostsFromBid-(V28)*(1-RTTPurchase))))))</f>
        <v/>
      </c>
      <c r="Y28" s="27" t="str">
        <f aca="false">IF(A28="","",IFERROR(X28/W28/(M28/12),0))</f>
        <v/>
      </c>
      <c r="Z28" s="26" t="str">
        <f aca="false">IF(A28="","",N(Deals!N28)*12*(1-Vacancy)*(1-MgmtPct-MaintPct-CapexPct)-N(Deals!M28)*TaxRate-MAX(1,N(Deals!J28))*(InsPerUnit+WaterPerUnit)-N(Deals!T28)*12)</f>
        <v/>
      </c>
      <c r="AA28" s="26" t="str">
        <f aca="false">IF(A28="","",Q28+O28+P28*N28)</f>
        <v/>
      </c>
      <c r="AB28" s="26" t="str">
        <f aca="false">IF(A28="","",MAX(0,MIN(RefiLTV*N(Deals!M28),Z28/(RefiDSCR*12*PMT(RefiRate/12,RefiTerm*12,-1)))))</f>
        <v/>
      </c>
      <c r="AC28" s="26" t="str">
        <f aca="false">IF(A28="","",Z28-AB28*12*PMT(RefiRate/12,RefiTerm*12,-1))</f>
        <v/>
      </c>
      <c r="AD28" s="26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26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26" t="str">
        <f aca="false">IF(A28="","",IF(HoldMeasure="Cash-on-cash",AE28,AD28))</f>
        <v/>
      </c>
      <c r="AG28" s="26" t="str">
        <f aca="false">IF(A28="","",((AF28)*(1+BuyerPremium)+IF(N(Deals!S28)=0,0,MIN(N(Deals!S28),MAX(0,N(Deals!S28)+SheriffCostsFromBid-(AF28)*(1-RTTPurchase)))))+AA28)</f>
        <v/>
      </c>
      <c r="AH28" s="27" t="str">
        <f aca="false">IF(A28="","",IFERROR(Z28/AG28,0))</f>
        <v/>
      </c>
      <c r="AI28" s="26" t="str">
        <f aca="false">IF(A28="","",AG28-AB28*(1-RefiCostPct))</f>
        <v/>
      </c>
      <c r="AJ28" s="27" t="str">
        <f aca="false">IF(A28="","",IF(AI28&lt;=0,"All cash out",AC28/AI28))</f>
        <v/>
      </c>
      <c r="AK28" s="26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26" t="str">
        <f aca="false">IF(OR(A28="",N(Deals!U28)=0),"",Deals!U28*N(Deals!W28))</f>
        <v/>
      </c>
      <c r="AM28" s="26" t="str">
        <f aca="false">IF(AL28="","",DemoCost+N(Deals!V28)*BuildCostPSF*(1+SoftCostPct)+P28*(DeedMonths+K28*EjectMonths+BuildMonths+SellMonths)+Q28+AL28*(BrokerPct+SellerRTT+SellClosingPct+ConcessionsPct))</f>
        <v/>
      </c>
      <c r="AN28" s="26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false" outlineLevel="0" collapsed="false">
      <c r="A29" s="22" t="str">
        <f aca="false">IF(Deals!A29="","",Deals!A29)</f>
        <v/>
      </c>
      <c r="B29" s="0" t="str">
        <f aca="false">IF(A29="","",Deals!B29)</f>
        <v/>
      </c>
      <c r="C29" s="21" t="str">
        <f aca="false">IF(A29="","",IF(MAX(V29,AF29)&lt;=0,"Pass",IF(V29&gt;=AF29,"Flip","Value-add hold")))</f>
        <v/>
      </c>
      <c r="D29" s="23" t="str">
        <f aca="false">IF(A29="","",MAX(V29,AF29))</f>
        <v/>
      </c>
      <c r="E29" s="24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3" t="str">
        <f aca="false">IF(A29="","",IF(C29="Flip",W29,IF(C29="Value-add hold",AG29,0)))</f>
        <v/>
      </c>
      <c r="G29" s="24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1" t="str">
        <f aca="false">IF(A29="","",IF(C29="Flip",IF(W29&lt;=FlipCeiling,"In $300k flip box","Over flip ceiling: needs to be exceptional"),IF(C29="Value-add hold","Value-add","")))</f>
        <v/>
      </c>
      <c r="I29" s="24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4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2" t="str">
        <f aca="false">IF(A29="","",IF(OR(Deals!Q29="Occupied",AND(Deals!Q29&lt;&gt;"Vacant",UnknownAsOccupied="Y")),1,0))</f>
        <v/>
      </c>
      <c r="L29" s="25" t="str">
        <f aca="false">IF(A29="","",IFERROR(INDEX(ScopeMonths,MATCH(Deals!O29,ScopeNames,0)),INDEX(ScopeMonths,3)))</f>
        <v/>
      </c>
      <c r="M29" s="25" t="str">
        <f aca="false">IF(A29="","",DeedMonths+K29*EjectMonths+L29+SellMonths)</f>
        <v/>
      </c>
      <c r="N29" s="25" t="str">
        <f aca="false">IF(A29="","",DeedMonths+K29*EjectMonths+L29+LeaseUpMonths)</f>
        <v/>
      </c>
      <c r="O29" s="26" t="str">
        <f aca="false">IF(A29="","",N(Deals!G29)*IFERROR(INDEX(ScopePSF,MATCH(Deals!O29,ScopeNames,0)),INDEX(ScopePSF,3))*(1+Contingency)+BlindAllowance+N(Deals!P29))</f>
        <v/>
      </c>
      <c r="P29" s="26" t="str">
        <f aca="false">IF(A29="","",IF(N(Deals!K29)&gt;0,Deals!K29,N(Deals!M29))*TaxRate/12+VacantInsMo+SecuringMo+UtilitiesMo+N(Deals!T29))</f>
        <v/>
      </c>
      <c r="Q29" s="26" t="str">
        <f aca="false">IF(A29="","",SheriffFees+PurchaseTitle+CompelDeedLegal+K29*PossessionCost+N(Deals!R29)+N(Deals!T29)*HOAArrearsMonths)</f>
        <v/>
      </c>
      <c r="R29" s="26" t="str">
        <f aca="false">IF(A29="","",N(Deals!M29)*(BrokerPct+SellerRTT+SellClosingPct+ConcessionsPct))</f>
        <v/>
      </c>
      <c r="S29" s="26" t="str">
        <f aca="false">IF(A29="","",Q29+O29+P29*M29)</f>
        <v/>
      </c>
      <c r="T29" s="26" t="str">
        <f aca="false">IF(A29="","",N(Deals!M29)-R29-S29)</f>
        <v/>
      </c>
      <c r="U29" s="26" t="str">
        <f aca="false">IF(A29="","",MIN(T29-FlipTarget,(T29-FlipMinAnnROI*M29/12*S29)/(1+FlipMinAnnROI*M29/12)))</f>
        <v/>
      </c>
      <c r="V29" s="26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26" t="str">
        <f aca="false">IF(A29="","",((V29)*(1+BuyerPremium)+IF(N(Deals!S29)=0,0,MIN(N(Deals!S29),MAX(0,N(Deals!S29)+SheriffCostsFromBid-(V29)*(1-RTTPurchase)))))+S29)</f>
        <v/>
      </c>
      <c r="X29" s="26" t="str">
        <f aca="false">IF(A29="","",T29-((V29)*(1+BuyerPremium)+IF(N(Deals!S29)=0,0,MIN(N(Deals!S29),MAX(0,N(Deals!S29)+SheriffCostsFromBid-(V29)*(1-RTTPurchase))))))</f>
        <v/>
      </c>
      <c r="Y29" s="27" t="str">
        <f aca="false">IF(A29="","",IFERROR(X29/W29/(M29/12),0))</f>
        <v/>
      </c>
      <c r="Z29" s="26" t="str">
        <f aca="false">IF(A29="","",N(Deals!N29)*12*(1-Vacancy)*(1-MgmtPct-MaintPct-CapexPct)-N(Deals!M29)*TaxRate-MAX(1,N(Deals!J29))*(InsPerUnit+WaterPerUnit)-N(Deals!T29)*12)</f>
        <v/>
      </c>
      <c r="AA29" s="26" t="str">
        <f aca="false">IF(A29="","",Q29+O29+P29*N29)</f>
        <v/>
      </c>
      <c r="AB29" s="26" t="str">
        <f aca="false">IF(A29="","",MAX(0,MIN(RefiLTV*N(Deals!M29),Z29/(RefiDSCR*12*PMT(RefiRate/12,RefiTerm*12,-1)))))</f>
        <v/>
      </c>
      <c r="AC29" s="26" t="str">
        <f aca="false">IF(A29="","",Z29-AB29*12*PMT(RefiRate/12,RefiTerm*12,-1))</f>
        <v/>
      </c>
      <c r="AD29" s="26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26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26" t="str">
        <f aca="false">IF(A29="","",IF(HoldMeasure="Cash-on-cash",AE29,AD29))</f>
        <v/>
      </c>
      <c r="AG29" s="26" t="str">
        <f aca="false">IF(A29="","",((AF29)*(1+BuyerPremium)+IF(N(Deals!S29)=0,0,MIN(N(Deals!S29),MAX(0,N(Deals!S29)+SheriffCostsFromBid-(AF29)*(1-RTTPurchase)))))+AA29)</f>
        <v/>
      </c>
      <c r="AH29" s="27" t="str">
        <f aca="false">IF(A29="","",IFERROR(Z29/AG29,0))</f>
        <v/>
      </c>
      <c r="AI29" s="26" t="str">
        <f aca="false">IF(A29="","",AG29-AB29*(1-RefiCostPct))</f>
        <v/>
      </c>
      <c r="AJ29" s="27" t="str">
        <f aca="false">IF(A29="","",IF(AI29&lt;=0,"All cash out",AC29/AI29))</f>
        <v/>
      </c>
      <c r="AK29" s="26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26" t="str">
        <f aca="false">IF(OR(A29="",N(Deals!U29)=0),"",Deals!U29*N(Deals!W29))</f>
        <v/>
      </c>
      <c r="AM29" s="26" t="str">
        <f aca="false">IF(AL29="","",DemoCost+N(Deals!V29)*BuildCostPSF*(1+SoftCostPct)+P29*(DeedMonths+K29*EjectMonths+BuildMonths+SellMonths)+Q29+AL29*(BrokerPct+SellerRTT+SellClosingPct+ConcessionsPct))</f>
        <v/>
      </c>
      <c r="AN29" s="26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false" outlineLevel="0" collapsed="false">
      <c r="A30" s="22" t="str">
        <f aca="false">IF(Deals!A30="","",Deals!A30)</f>
        <v/>
      </c>
      <c r="B30" s="0" t="str">
        <f aca="false">IF(A30="","",Deals!B30)</f>
        <v/>
      </c>
      <c r="C30" s="21" t="str">
        <f aca="false">IF(A30="","",IF(MAX(V30,AF30)&lt;=0,"Pass",IF(V30&gt;=AF30,"Flip","Value-add hold")))</f>
        <v/>
      </c>
      <c r="D30" s="23" t="str">
        <f aca="false">IF(A30="","",MAX(V30,AF30))</f>
        <v/>
      </c>
      <c r="E30" s="24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3" t="str">
        <f aca="false">IF(A30="","",IF(C30="Flip",W30,IF(C30="Value-add hold",AG30,0)))</f>
        <v/>
      </c>
      <c r="G30" s="24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1" t="str">
        <f aca="false">IF(A30="","",IF(C30="Flip",IF(W30&lt;=FlipCeiling,"In $300k flip box","Over flip ceiling: needs to be exceptional"),IF(C30="Value-add hold","Value-add","")))</f>
        <v/>
      </c>
      <c r="I30" s="24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4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2" t="str">
        <f aca="false">IF(A30="","",IF(OR(Deals!Q30="Occupied",AND(Deals!Q30&lt;&gt;"Vacant",UnknownAsOccupied="Y")),1,0))</f>
        <v/>
      </c>
      <c r="L30" s="25" t="str">
        <f aca="false">IF(A30="","",IFERROR(INDEX(ScopeMonths,MATCH(Deals!O30,ScopeNames,0)),INDEX(ScopeMonths,3)))</f>
        <v/>
      </c>
      <c r="M30" s="25" t="str">
        <f aca="false">IF(A30="","",DeedMonths+K30*EjectMonths+L30+SellMonths)</f>
        <v/>
      </c>
      <c r="N30" s="25" t="str">
        <f aca="false">IF(A30="","",DeedMonths+K30*EjectMonths+L30+LeaseUpMonths)</f>
        <v/>
      </c>
      <c r="O30" s="26" t="str">
        <f aca="false">IF(A30="","",N(Deals!G30)*IFERROR(INDEX(ScopePSF,MATCH(Deals!O30,ScopeNames,0)),INDEX(ScopePSF,3))*(1+Contingency)+BlindAllowance+N(Deals!P30))</f>
        <v/>
      </c>
      <c r="P30" s="26" t="str">
        <f aca="false">IF(A30="","",IF(N(Deals!K30)&gt;0,Deals!K30,N(Deals!M30))*TaxRate/12+VacantInsMo+SecuringMo+UtilitiesMo+N(Deals!T30))</f>
        <v/>
      </c>
      <c r="Q30" s="26" t="str">
        <f aca="false">IF(A30="","",SheriffFees+PurchaseTitle+CompelDeedLegal+K30*PossessionCost+N(Deals!R30)+N(Deals!T30)*HOAArrearsMonths)</f>
        <v/>
      </c>
      <c r="R30" s="26" t="str">
        <f aca="false">IF(A30="","",N(Deals!M30)*(BrokerPct+SellerRTT+SellClosingPct+ConcessionsPct))</f>
        <v/>
      </c>
      <c r="S30" s="26" t="str">
        <f aca="false">IF(A30="","",Q30+O30+P30*M30)</f>
        <v/>
      </c>
      <c r="T30" s="26" t="str">
        <f aca="false">IF(A30="","",N(Deals!M30)-R30-S30)</f>
        <v/>
      </c>
      <c r="U30" s="26" t="str">
        <f aca="false">IF(A30="","",MIN(T30-FlipTarget,(T30-FlipMinAnnROI*M30/12*S30)/(1+FlipMinAnnROI*M30/12)))</f>
        <v/>
      </c>
      <c r="V30" s="26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26" t="str">
        <f aca="false">IF(A30="","",((V30)*(1+BuyerPremium)+IF(N(Deals!S30)=0,0,MIN(N(Deals!S30),MAX(0,N(Deals!S30)+SheriffCostsFromBid-(V30)*(1-RTTPurchase)))))+S30)</f>
        <v/>
      </c>
      <c r="X30" s="26" t="str">
        <f aca="false">IF(A30="","",T30-((V30)*(1+BuyerPremium)+IF(N(Deals!S30)=0,0,MIN(N(Deals!S30),MAX(0,N(Deals!S30)+SheriffCostsFromBid-(V30)*(1-RTTPurchase))))))</f>
        <v/>
      </c>
      <c r="Y30" s="27" t="str">
        <f aca="false">IF(A30="","",IFERROR(X30/W30/(M30/12),0))</f>
        <v/>
      </c>
      <c r="Z30" s="26" t="str">
        <f aca="false">IF(A30="","",N(Deals!N30)*12*(1-Vacancy)*(1-MgmtPct-MaintPct-CapexPct)-N(Deals!M30)*TaxRate-MAX(1,N(Deals!J30))*(InsPerUnit+WaterPerUnit)-N(Deals!T30)*12)</f>
        <v/>
      </c>
      <c r="AA30" s="26" t="str">
        <f aca="false">IF(A30="","",Q30+O30+P30*N30)</f>
        <v/>
      </c>
      <c r="AB30" s="26" t="str">
        <f aca="false">IF(A30="","",MAX(0,MIN(RefiLTV*N(Deals!M30),Z30/(RefiDSCR*12*PMT(RefiRate/12,RefiTerm*12,-1)))))</f>
        <v/>
      </c>
      <c r="AC30" s="26" t="str">
        <f aca="false">IF(A30="","",Z30-AB30*12*PMT(RefiRate/12,RefiTerm*12,-1))</f>
        <v/>
      </c>
      <c r="AD30" s="26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26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26" t="str">
        <f aca="false">IF(A30="","",IF(HoldMeasure="Cash-on-cash",AE30,AD30))</f>
        <v/>
      </c>
      <c r="AG30" s="26" t="str">
        <f aca="false">IF(A30="","",((AF30)*(1+BuyerPremium)+IF(N(Deals!S30)=0,0,MIN(N(Deals!S30),MAX(0,N(Deals!S30)+SheriffCostsFromBid-(AF30)*(1-RTTPurchase)))))+AA30)</f>
        <v/>
      </c>
      <c r="AH30" s="27" t="str">
        <f aca="false">IF(A30="","",IFERROR(Z30/AG30,0))</f>
        <v/>
      </c>
      <c r="AI30" s="26" t="str">
        <f aca="false">IF(A30="","",AG30-AB30*(1-RefiCostPct))</f>
        <v/>
      </c>
      <c r="AJ30" s="27" t="str">
        <f aca="false">IF(A30="","",IF(AI30&lt;=0,"All cash out",AC30/AI30))</f>
        <v/>
      </c>
      <c r="AK30" s="26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26" t="str">
        <f aca="false">IF(OR(A30="",N(Deals!U30)=0),"",Deals!U30*N(Deals!W30))</f>
        <v/>
      </c>
      <c r="AM30" s="26" t="str">
        <f aca="false">IF(AL30="","",DemoCost+N(Deals!V30)*BuildCostPSF*(1+SoftCostPct)+P30*(DeedMonths+K30*EjectMonths+BuildMonths+SellMonths)+Q30+AL30*(BrokerPct+SellerRTT+SellClosingPct+ConcessionsPct))</f>
        <v/>
      </c>
      <c r="AN30" s="26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false" outlineLevel="0" collapsed="false">
      <c r="A31" s="22" t="str">
        <f aca="false">IF(Deals!A31="","",Deals!A31)</f>
        <v/>
      </c>
      <c r="B31" s="0" t="str">
        <f aca="false">IF(A31="","",Deals!B31)</f>
        <v/>
      </c>
      <c r="C31" s="21" t="str">
        <f aca="false">IF(A31="","",IF(MAX(V31,AF31)&lt;=0,"Pass",IF(V31&gt;=AF31,"Flip","Value-add hold")))</f>
        <v/>
      </c>
      <c r="D31" s="23" t="str">
        <f aca="false">IF(A31="","",MAX(V31,AF31))</f>
        <v/>
      </c>
      <c r="E31" s="24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3" t="str">
        <f aca="false">IF(A31="","",IF(C31="Flip",W31,IF(C31="Value-add hold",AG31,0)))</f>
        <v/>
      </c>
      <c r="G31" s="24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1" t="str">
        <f aca="false">IF(A31="","",IF(C31="Flip",IF(W31&lt;=FlipCeiling,"In $300k flip box","Over flip ceiling: needs to be exceptional"),IF(C31="Value-add hold","Value-add","")))</f>
        <v/>
      </c>
      <c r="I31" s="24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4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2" t="str">
        <f aca="false">IF(A31="","",IF(OR(Deals!Q31="Occupied",AND(Deals!Q31&lt;&gt;"Vacant",UnknownAsOccupied="Y")),1,0))</f>
        <v/>
      </c>
      <c r="L31" s="25" t="str">
        <f aca="false">IF(A31="","",IFERROR(INDEX(ScopeMonths,MATCH(Deals!O31,ScopeNames,0)),INDEX(ScopeMonths,3)))</f>
        <v/>
      </c>
      <c r="M31" s="25" t="str">
        <f aca="false">IF(A31="","",DeedMonths+K31*EjectMonths+L31+SellMonths)</f>
        <v/>
      </c>
      <c r="N31" s="25" t="str">
        <f aca="false">IF(A31="","",DeedMonths+K31*EjectMonths+L31+LeaseUpMonths)</f>
        <v/>
      </c>
      <c r="O31" s="26" t="str">
        <f aca="false">IF(A31="","",N(Deals!G31)*IFERROR(INDEX(ScopePSF,MATCH(Deals!O31,ScopeNames,0)),INDEX(ScopePSF,3))*(1+Contingency)+BlindAllowance+N(Deals!P31))</f>
        <v/>
      </c>
      <c r="P31" s="26" t="str">
        <f aca="false">IF(A31="","",IF(N(Deals!K31)&gt;0,Deals!K31,N(Deals!M31))*TaxRate/12+VacantInsMo+SecuringMo+UtilitiesMo+N(Deals!T31))</f>
        <v/>
      </c>
      <c r="Q31" s="26" t="str">
        <f aca="false">IF(A31="","",SheriffFees+PurchaseTitle+CompelDeedLegal+K31*PossessionCost+N(Deals!R31)+N(Deals!T31)*HOAArrearsMonths)</f>
        <v/>
      </c>
      <c r="R31" s="26" t="str">
        <f aca="false">IF(A31="","",N(Deals!M31)*(BrokerPct+SellerRTT+SellClosingPct+ConcessionsPct))</f>
        <v/>
      </c>
      <c r="S31" s="26" t="str">
        <f aca="false">IF(A31="","",Q31+O31+P31*M31)</f>
        <v/>
      </c>
      <c r="T31" s="26" t="str">
        <f aca="false">IF(A31="","",N(Deals!M31)-R31-S31)</f>
        <v/>
      </c>
      <c r="U31" s="26" t="str">
        <f aca="false">IF(A31="","",MIN(T31-FlipTarget,(T31-FlipMinAnnROI*M31/12*S31)/(1+FlipMinAnnROI*M31/12)))</f>
        <v/>
      </c>
      <c r="V31" s="26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26" t="str">
        <f aca="false">IF(A31="","",((V31)*(1+BuyerPremium)+IF(N(Deals!S31)=0,0,MIN(N(Deals!S31),MAX(0,N(Deals!S31)+SheriffCostsFromBid-(V31)*(1-RTTPurchase)))))+S31)</f>
        <v/>
      </c>
      <c r="X31" s="26" t="str">
        <f aca="false">IF(A31="","",T31-((V31)*(1+BuyerPremium)+IF(N(Deals!S31)=0,0,MIN(N(Deals!S31),MAX(0,N(Deals!S31)+SheriffCostsFromBid-(V31)*(1-RTTPurchase))))))</f>
        <v/>
      </c>
      <c r="Y31" s="27" t="str">
        <f aca="false">IF(A31="","",IFERROR(X31/W31/(M31/12),0))</f>
        <v/>
      </c>
      <c r="Z31" s="26" t="str">
        <f aca="false">IF(A31="","",N(Deals!N31)*12*(1-Vacancy)*(1-MgmtPct-MaintPct-CapexPct)-N(Deals!M31)*TaxRate-MAX(1,N(Deals!J31))*(InsPerUnit+WaterPerUnit)-N(Deals!T31)*12)</f>
        <v/>
      </c>
      <c r="AA31" s="26" t="str">
        <f aca="false">IF(A31="","",Q31+O31+P31*N31)</f>
        <v/>
      </c>
      <c r="AB31" s="26" t="str">
        <f aca="false">IF(A31="","",MAX(0,MIN(RefiLTV*N(Deals!M31),Z31/(RefiDSCR*12*PMT(RefiRate/12,RefiTerm*12,-1)))))</f>
        <v/>
      </c>
      <c r="AC31" s="26" t="str">
        <f aca="false">IF(A31="","",Z31-AB31*12*PMT(RefiRate/12,RefiTerm*12,-1))</f>
        <v/>
      </c>
      <c r="AD31" s="26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26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26" t="str">
        <f aca="false">IF(A31="","",IF(HoldMeasure="Cash-on-cash",AE31,AD31))</f>
        <v/>
      </c>
      <c r="AG31" s="26" t="str">
        <f aca="false">IF(A31="","",((AF31)*(1+BuyerPremium)+IF(N(Deals!S31)=0,0,MIN(N(Deals!S31),MAX(0,N(Deals!S31)+SheriffCostsFromBid-(AF31)*(1-RTTPurchase)))))+AA31)</f>
        <v/>
      </c>
      <c r="AH31" s="27" t="str">
        <f aca="false">IF(A31="","",IFERROR(Z31/AG31,0))</f>
        <v/>
      </c>
      <c r="AI31" s="26" t="str">
        <f aca="false">IF(A31="","",AG31-AB31*(1-RefiCostPct))</f>
        <v/>
      </c>
      <c r="AJ31" s="27" t="str">
        <f aca="false">IF(A31="","",IF(AI31&lt;=0,"All cash out",AC31/AI31))</f>
        <v/>
      </c>
      <c r="AK31" s="26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26" t="str">
        <f aca="false">IF(OR(A31="",N(Deals!U31)=0),"",Deals!U31*N(Deals!W31))</f>
        <v/>
      </c>
      <c r="AM31" s="26" t="str">
        <f aca="false">IF(AL31="","",DemoCost+N(Deals!V31)*BuildCostPSF*(1+SoftCostPct)+P31*(DeedMonths+K31*EjectMonths+BuildMonths+SellMonths)+Q31+AL31*(BrokerPct+SellerRTT+SellClosingPct+ConcessionsPct))</f>
        <v/>
      </c>
      <c r="AN31" s="26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false" outlineLevel="0" collapsed="false">
      <c r="A32" s="22" t="str">
        <f aca="false">IF(Deals!A32="","",Deals!A32)</f>
        <v/>
      </c>
      <c r="B32" s="0" t="str">
        <f aca="false">IF(A32="","",Deals!B32)</f>
        <v/>
      </c>
      <c r="C32" s="21" t="str">
        <f aca="false">IF(A32="","",IF(MAX(V32,AF32)&lt;=0,"Pass",IF(V32&gt;=AF32,"Flip","Value-add hold")))</f>
        <v/>
      </c>
      <c r="D32" s="23" t="str">
        <f aca="false">IF(A32="","",MAX(V32,AF32))</f>
        <v/>
      </c>
      <c r="E32" s="24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3" t="str">
        <f aca="false">IF(A32="","",IF(C32="Flip",W32,IF(C32="Value-add hold",AG32,0)))</f>
        <v/>
      </c>
      <c r="G32" s="24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1" t="str">
        <f aca="false">IF(A32="","",IF(C32="Flip",IF(W32&lt;=FlipCeiling,"In $300k flip box","Over flip ceiling: needs to be exceptional"),IF(C32="Value-add hold","Value-add","")))</f>
        <v/>
      </c>
      <c r="I32" s="24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4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2" t="str">
        <f aca="false">IF(A32="","",IF(OR(Deals!Q32="Occupied",AND(Deals!Q32&lt;&gt;"Vacant",UnknownAsOccupied="Y")),1,0))</f>
        <v/>
      </c>
      <c r="L32" s="25" t="str">
        <f aca="false">IF(A32="","",IFERROR(INDEX(ScopeMonths,MATCH(Deals!O32,ScopeNames,0)),INDEX(ScopeMonths,3)))</f>
        <v/>
      </c>
      <c r="M32" s="25" t="str">
        <f aca="false">IF(A32="","",DeedMonths+K32*EjectMonths+L32+SellMonths)</f>
        <v/>
      </c>
      <c r="N32" s="25" t="str">
        <f aca="false">IF(A32="","",DeedMonths+K32*EjectMonths+L32+LeaseUpMonths)</f>
        <v/>
      </c>
      <c r="O32" s="26" t="str">
        <f aca="false">IF(A32="","",N(Deals!G32)*IFERROR(INDEX(ScopePSF,MATCH(Deals!O32,ScopeNames,0)),INDEX(ScopePSF,3))*(1+Contingency)+BlindAllowance+N(Deals!P32))</f>
        <v/>
      </c>
      <c r="P32" s="26" t="str">
        <f aca="false">IF(A32="","",IF(N(Deals!K32)&gt;0,Deals!K32,N(Deals!M32))*TaxRate/12+VacantInsMo+SecuringMo+UtilitiesMo+N(Deals!T32))</f>
        <v/>
      </c>
      <c r="Q32" s="26" t="str">
        <f aca="false">IF(A32="","",SheriffFees+PurchaseTitle+CompelDeedLegal+K32*PossessionCost+N(Deals!R32)+N(Deals!T32)*HOAArrearsMonths)</f>
        <v/>
      </c>
      <c r="R32" s="26" t="str">
        <f aca="false">IF(A32="","",N(Deals!M32)*(BrokerPct+SellerRTT+SellClosingPct+ConcessionsPct))</f>
        <v/>
      </c>
      <c r="S32" s="26" t="str">
        <f aca="false">IF(A32="","",Q32+O32+P32*M32)</f>
        <v/>
      </c>
      <c r="T32" s="26" t="str">
        <f aca="false">IF(A32="","",N(Deals!M32)-R32-S32)</f>
        <v/>
      </c>
      <c r="U32" s="26" t="str">
        <f aca="false">IF(A32="","",MIN(T32-FlipTarget,(T32-FlipMinAnnROI*M32/12*S32)/(1+FlipMinAnnROI*M32/12)))</f>
        <v/>
      </c>
      <c r="V32" s="26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26" t="str">
        <f aca="false">IF(A32="","",((V32)*(1+BuyerPremium)+IF(N(Deals!S32)=0,0,MIN(N(Deals!S32),MAX(0,N(Deals!S32)+SheriffCostsFromBid-(V32)*(1-RTTPurchase)))))+S32)</f>
        <v/>
      </c>
      <c r="X32" s="26" t="str">
        <f aca="false">IF(A32="","",T32-((V32)*(1+BuyerPremium)+IF(N(Deals!S32)=0,0,MIN(N(Deals!S32),MAX(0,N(Deals!S32)+SheriffCostsFromBid-(V32)*(1-RTTPurchase))))))</f>
        <v/>
      </c>
      <c r="Y32" s="27" t="str">
        <f aca="false">IF(A32="","",IFERROR(X32/W32/(M32/12),0))</f>
        <v/>
      </c>
      <c r="Z32" s="26" t="str">
        <f aca="false">IF(A32="","",N(Deals!N32)*12*(1-Vacancy)*(1-MgmtPct-MaintPct-CapexPct)-N(Deals!M32)*TaxRate-MAX(1,N(Deals!J32))*(InsPerUnit+WaterPerUnit)-N(Deals!T32)*12)</f>
        <v/>
      </c>
      <c r="AA32" s="26" t="str">
        <f aca="false">IF(A32="","",Q32+O32+P32*N32)</f>
        <v/>
      </c>
      <c r="AB32" s="26" t="str">
        <f aca="false">IF(A32="","",MAX(0,MIN(RefiLTV*N(Deals!M32),Z32/(RefiDSCR*12*PMT(RefiRate/12,RefiTerm*12,-1)))))</f>
        <v/>
      </c>
      <c r="AC32" s="26" t="str">
        <f aca="false">IF(A32="","",Z32-AB32*12*PMT(RefiRate/12,RefiTerm*12,-1))</f>
        <v/>
      </c>
      <c r="AD32" s="26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26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26" t="str">
        <f aca="false">IF(A32="","",IF(HoldMeasure="Cash-on-cash",AE32,AD32))</f>
        <v/>
      </c>
      <c r="AG32" s="26" t="str">
        <f aca="false">IF(A32="","",((AF32)*(1+BuyerPremium)+IF(N(Deals!S32)=0,0,MIN(N(Deals!S32),MAX(0,N(Deals!S32)+SheriffCostsFromBid-(AF32)*(1-RTTPurchase)))))+AA32)</f>
        <v/>
      </c>
      <c r="AH32" s="27" t="str">
        <f aca="false">IF(A32="","",IFERROR(Z32/AG32,0))</f>
        <v/>
      </c>
      <c r="AI32" s="26" t="str">
        <f aca="false">IF(A32="","",AG32-AB32*(1-RefiCostPct))</f>
        <v/>
      </c>
      <c r="AJ32" s="27" t="str">
        <f aca="false">IF(A32="","",IF(AI32&lt;=0,"All cash out",AC32/AI32))</f>
        <v/>
      </c>
      <c r="AK32" s="26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26" t="str">
        <f aca="false">IF(OR(A32="",N(Deals!U32)=0),"",Deals!U32*N(Deals!W32))</f>
        <v/>
      </c>
      <c r="AM32" s="26" t="str">
        <f aca="false">IF(AL32="","",DemoCost+N(Deals!V32)*BuildCostPSF*(1+SoftCostPct)+P32*(DeedMonths+K32*EjectMonths+BuildMonths+SellMonths)+Q32+AL32*(BrokerPct+SellerRTT+SellClosingPct+ConcessionsPct))</f>
        <v/>
      </c>
      <c r="AN32" s="26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false" outlineLevel="0" collapsed="false">
      <c r="A33" s="22" t="str">
        <f aca="false">IF(Deals!A33="","",Deals!A33)</f>
        <v/>
      </c>
      <c r="B33" s="0" t="str">
        <f aca="false">IF(A33="","",Deals!B33)</f>
        <v/>
      </c>
      <c r="C33" s="21" t="str">
        <f aca="false">IF(A33="","",IF(MAX(V33,AF33)&lt;=0,"Pass",IF(V33&gt;=AF33,"Flip","Value-add hold")))</f>
        <v/>
      </c>
      <c r="D33" s="23" t="str">
        <f aca="false">IF(A33="","",MAX(V33,AF33))</f>
        <v/>
      </c>
      <c r="E33" s="24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3" t="str">
        <f aca="false">IF(A33="","",IF(C33="Flip",W33,IF(C33="Value-add hold",AG33,0)))</f>
        <v/>
      </c>
      <c r="G33" s="24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1" t="str">
        <f aca="false">IF(A33="","",IF(C33="Flip",IF(W33&lt;=FlipCeiling,"In $300k flip box","Over flip ceiling: needs to be exceptional"),IF(C33="Value-add hold","Value-add","")))</f>
        <v/>
      </c>
      <c r="I33" s="24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4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2" t="str">
        <f aca="false">IF(A33="","",IF(OR(Deals!Q33="Occupied",AND(Deals!Q33&lt;&gt;"Vacant",UnknownAsOccupied="Y")),1,0))</f>
        <v/>
      </c>
      <c r="L33" s="25" t="str">
        <f aca="false">IF(A33="","",IFERROR(INDEX(ScopeMonths,MATCH(Deals!O33,ScopeNames,0)),INDEX(ScopeMonths,3)))</f>
        <v/>
      </c>
      <c r="M33" s="25" t="str">
        <f aca="false">IF(A33="","",DeedMonths+K33*EjectMonths+L33+SellMonths)</f>
        <v/>
      </c>
      <c r="N33" s="25" t="str">
        <f aca="false">IF(A33="","",DeedMonths+K33*EjectMonths+L33+LeaseUpMonths)</f>
        <v/>
      </c>
      <c r="O33" s="26" t="str">
        <f aca="false">IF(A33="","",N(Deals!G33)*IFERROR(INDEX(ScopePSF,MATCH(Deals!O33,ScopeNames,0)),INDEX(ScopePSF,3))*(1+Contingency)+BlindAllowance+N(Deals!P33))</f>
        <v/>
      </c>
      <c r="P33" s="26" t="str">
        <f aca="false">IF(A33="","",IF(N(Deals!K33)&gt;0,Deals!K33,N(Deals!M33))*TaxRate/12+VacantInsMo+SecuringMo+UtilitiesMo+N(Deals!T33))</f>
        <v/>
      </c>
      <c r="Q33" s="26" t="str">
        <f aca="false">IF(A33="","",SheriffFees+PurchaseTitle+CompelDeedLegal+K33*PossessionCost+N(Deals!R33)+N(Deals!T33)*HOAArrearsMonths)</f>
        <v/>
      </c>
      <c r="R33" s="26" t="str">
        <f aca="false">IF(A33="","",N(Deals!M33)*(BrokerPct+SellerRTT+SellClosingPct+ConcessionsPct))</f>
        <v/>
      </c>
      <c r="S33" s="26" t="str">
        <f aca="false">IF(A33="","",Q33+O33+P33*M33)</f>
        <v/>
      </c>
      <c r="T33" s="26" t="str">
        <f aca="false">IF(A33="","",N(Deals!M33)-R33-S33)</f>
        <v/>
      </c>
      <c r="U33" s="26" t="str">
        <f aca="false">IF(A33="","",MIN(T33-FlipTarget,(T33-FlipMinAnnROI*M33/12*S33)/(1+FlipMinAnnROI*M33/12)))</f>
        <v/>
      </c>
      <c r="V33" s="26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26" t="str">
        <f aca="false">IF(A33="","",((V33)*(1+BuyerPremium)+IF(N(Deals!S33)=0,0,MIN(N(Deals!S33),MAX(0,N(Deals!S33)+SheriffCostsFromBid-(V33)*(1-RTTPurchase)))))+S33)</f>
        <v/>
      </c>
      <c r="X33" s="26" t="str">
        <f aca="false">IF(A33="","",T33-((V33)*(1+BuyerPremium)+IF(N(Deals!S33)=0,0,MIN(N(Deals!S33),MAX(0,N(Deals!S33)+SheriffCostsFromBid-(V33)*(1-RTTPurchase))))))</f>
        <v/>
      </c>
      <c r="Y33" s="27" t="str">
        <f aca="false">IF(A33="","",IFERROR(X33/W33/(M33/12),0))</f>
        <v/>
      </c>
      <c r="Z33" s="26" t="str">
        <f aca="false">IF(A33="","",N(Deals!N33)*12*(1-Vacancy)*(1-MgmtPct-MaintPct-CapexPct)-N(Deals!M33)*TaxRate-MAX(1,N(Deals!J33))*(InsPerUnit+WaterPerUnit)-N(Deals!T33)*12)</f>
        <v/>
      </c>
      <c r="AA33" s="26" t="str">
        <f aca="false">IF(A33="","",Q33+O33+P33*N33)</f>
        <v/>
      </c>
      <c r="AB33" s="26" t="str">
        <f aca="false">IF(A33="","",MAX(0,MIN(RefiLTV*N(Deals!M33),Z33/(RefiDSCR*12*PMT(RefiRate/12,RefiTerm*12,-1)))))</f>
        <v/>
      </c>
      <c r="AC33" s="26" t="str">
        <f aca="false">IF(A33="","",Z33-AB33*12*PMT(RefiRate/12,RefiTerm*12,-1))</f>
        <v/>
      </c>
      <c r="AD33" s="26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26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26" t="str">
        <f aca="false">IF(A33="","",IF(HoldMeasure="Cash-on-cash",AE33,AD33))</f>
        <v/>
      </c>
      <c r="AG33" s="26" t="str">
        <f aca="false">IF(A33="","",((AF33)*(1+BuyerPremium)+IF(N(Deals!S33)=0,0,MIN(N(Deals!S33),MAX(0,N(Deals!S33)+SheriffCostsFromBid-(AF33)*(1-RTTPurchase)))))+AA33)</f>
        <v/>
      </c>
      <c r="AH33" s="27" t="str">
        <f aca="false">IF(A33="","",IFERROR(Z33/AG33,0))</f>
        <v/>
      </c>
      <c r="AI33" s="26" t="str">
        <f aca="false">IF(A33="","",AG33-AB33*(1-RefiCostPct))</f>
        <v/>
      </c>
      <c r="AJ33" s="27" t="str">
        <f aca="false">IF(A33="","",IF(AI33&lt;=0,"All cash out",AC33/AI33))</f>
        <v/>
      </c>
      <c r="AK33" s="26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26" t="str">
        <f aca="false">IF(OR(A33="",N(Deals!U33)=0),"",Deals!U33*N(Deals!W33))</f>
        <v/>
      </c>
      <c r="AM33" s="26" t="str">
        <f aca="false">IF(AL33="","",DemoCost+N(Deals!V33)*BuildCostPSF*(1+SoftCostPct)+P33*(DeedMonths+K33*EjectMonths+BuildMonths+SellMonths)+Q33+AL33*(BrokerPct+SellerRTT+SellClosingPct+ConcessionsPct))</f>
        <v/>
      </c>
      <c r="AN33" s="26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false" outlineLevel="0" collapsed="false">
      <c r="A34" s="22" t="str">
        <f aca="false">IF(Deals!A34="","",Deals!A34)</f>
        <v/>
      </c>
      <c r="B34" s="0" t="str">
        <f aca="false">IF(A34="","",Deals!B34)</f>
        <v/>
      </c>
      <c r="C34" s="21" t="str">
        <f aca="false">IF(A34="","",IF(MAX(V34,AF34)&lt;=0,"Pass",IF(V34&gt;=AF34,"Flip","Value-add hold")))</f>
        <v/>
      </c>
      <c r="D34" s="23" t="str">
        <f aca="false">IF(A34="","",MAX(V34,AF34))</f>
        <v/>
      </c>
      <c r="E34" s="24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3" t="str">
        <f aca="false">IF(A34="","",IF(C34="Flip",W34,IF(C34="Value-add hold",AG34,0)))</f>
        <v/>
      </c>
      <c r="G34" s="24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1" t="str">
        <f aca="false">IF(A34="","",IF(C34="Flip",IF(W34&lt;=FlipCeiling,"In $300k flip box","Over flip ceiling: needs to be exceptional"),IF(C34="Value-add hold","Value-add","")))</f>
        <v/>
      </c>
      <c r="I34" s="24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4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2" t="str">
        <f aca="false">IF(A34="","",IF(OR(Deals!Q34="Occupied",AND(Deals!Q34&lt;&gt;"Vacant",UnknownAsOccupied="Y")),1,0))</f>
        <v/>
      </c>
      <c r="L34" s="25" t="str">
        <f aca="false">IF(A34="","",IFERROR(INDEX(ScopeMonths,MATCH(Deals!O34,ScopeNames,0)),INDEX(ScopeMonths,3)))</f>
        <v/>
      </c>
      <c r="M34" s="25" t="str">
        <f aca="false">IF(A34="","",DeedMonths+K34*EjectMonths+L34+SellMonths)</f>
        <v/>
      </c>
      <c r="N34" s="25" t="str">
        <f aca="false">IF(A34="","",DeedMonths+K34*EjectMonths+L34+LeaseUpMonths)</f>
        <v/>
      </c>
      <c r="O34" s="26" t="str">
        <f aca="false">IF(A34="","",N(Deals!G34)*IFERROR(INDEX(ScopePSF,MATCH(Deals!O34,ScopeNames,0)),INDEX(ScopePSF,3))*(1+Contingency)+BlindAllowance+N(Deals!P34))</f>
        <v/>
      </c>
      <c r="P34" s="26" t="str">
        <f aca="false">IF(A34="","",IF(N(Deals!K34)&gt;0,Deals!K34,N(Deals!M34))*TaxRate/12+VacantInsMo+SecuringMo+UtilitiesMo+N(Deals!T34))</f>
        <v/>
      </c>
      <c r="Q34" s="26" t="str">
        <f aca="false">IF(A34="","",SheriffFees+PurchaseTitle+CompelDeedLegal+K34*PossessionCost+N(Deals!R34)+N(Deals!T34)*HOAArrearsMonths)</f>
        <v/>
      </c>
      <c r="R34" s="26" t="str">
        <f aca="false">IF(A34="","",N(Deals!M34)*(BrokerPct+SellerRTT+SellClosingPct+ConcessionsPct))</f>
        <v/>
      </c>
      <c r="S34" s="26" t="str">
        <f aca="false">IF(A34="","",Q34+O34+P34*M34)</f>
        <v/>
      </c>
      <c r="T34" s="26" t="str">
        <f aca="false">IF(A34="","",N(Deals!M34)-R34-S34)</f>
        <v/>
      </c>
      <c r="U34" s="26" t="str">
        <f aca="false">IF(A34="","",MIN(T34-FlipTarget,(T34-FlipMinAnnROI*M34/12*S34)/(1+FlipMinAnnROI*M34/12)))</f>
        <v/>
      </c>
      <c r="V34" s="26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26" t="str">
        <f aca="false">IF(A34="","",((V34)*(1+BuyerPremium)+IF(N(Deals!S34)=0,0,MIN(N(Deals!S34),MAX(0,N(Deals!S34)+SheriffCostsFromBid-(V34)*(1-RTTPurchase)))))+S34)</f>
        <v/>
      </c>
      <c r="X34" s="26" t="str">
        <f aca="false">IF(A34="","",T34-((V34)*(1+BuyerPremium)+IF(N(Deals!S34)=0,0,MIN(N(Deals!S34),MAX(0,N(Deals!S34)+SheriffCostsFromBid-(V34)*(1-RTTPurchase))))))</f>
        <v/>
      </c>
      <c r="Y34" s="27" t="str">
        <f aca="false">IF(A34="","",IFERROR(X34/W34/(M34/12),0))</f>
        <v/>
      </c>
      <c r="Z34" s="26" t="str">
        <f aca="false">IF(A34="","",N(Deals!N34)*12*(1-Vacancy)*(1-MgmtPct-MaintPct-CapexPct)-N(Deals!M34)*TaxRate-MAX(1,N(Deals!J34))*(InsPerUnit+WaterPerUnit)-N(Deals!T34)*12)</f>
        <v/>
      </c>
      <c r="AA34" s="26" t="str">
        <f aca="false">IF(A34="","",Q34+O34+P34*N34)</f>
        <v/>
      </c>
      <c r="AB34" s="26" t="str">
        <f aca="false">IF(A34="","",MAX(0,MIN(RefiLTV*N(Deals!M34),Z34/(RefiDSCR*12*PMT(RefiRate/12,RefiTerm*12,-1)))))</f>
        <v/>
      </c>
      <c r="AC34" s="26" t="str">
        <f aca="false">IF(A34="","",Z34-AB34*12*PMT(RefiRate/12,RefiTerm*12,-1))</f>
        <v/>
      </c>
      <c r="AD34" s="26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26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26" t="str">
        <f aca="false">IF(A34="","",IF(HoldMeasure="Cash-on-cash",AE34,AD34))</f>
        <v/>
      </c>
      <c r="AG34" s="26" t="str">
        <f aca="false">IF(A34="","",((AF34)*(1+BuyerPremium)+IF(N(Deals!S34)=0,0,MIN(N(Deals!S34),MAX(0,N(Deals!S34)+SheriffCostsFromBid-(AF34)*(1-RTTPurchase)))))+AA34)</f>
        <v/>
      </c>
      <c r="AH34" s="27" t="str">
        <f aca="false">IF(A34="","",IFERROR(Z34/AG34,0))</f>
        <v/>
      </c>
      <c r="AI34" s="26" t="str">
        <f aca="false">IF(A34="","",AG34-AB34*(1-RefiCostPct))</f>
        <v/>
      </c>
      <c r="AJ34" s="27" t="str">
        <f aca="false">IF(A34="","",IF(AI34&lt;=0,"All cash out",AC34/AI34))</f>
        <v/>
      </c>
      <c r="AK34" s="26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26" t="str">
        <f aca="false">IF(OR(A34="",N(Deals!U34)=0),"",Deals!U34*N(Deals!W34))</f>
        <v/>
      </c>
      <c r="AM34" s="26" t="str">
        <f aca="false">IF(AL34="","",DemoCost+N(Deals!V34)*BuildCostPSF*(1+SoftCostPct)+P34*(DeedMonths+K34*EjectMonths+BuildMonths+SellMonths)+Q34+AL34*(BrokerPct+SellerRTT+SellClosingPct+ConcessionsPct))</f>
        <v/>
      </c>
      <c r="AN34" s="26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false" outlineLevel="0" collapsed="false">
      <c r="A35" s="22" t="str">
        <f aca="false">IF(Deals!A35="","",Deals!A35)</f>
        <v/>
      </c>
      <c r="B35" s="0" t="str">
        <f aca="false">IF(A35="","",Deals!B35)</f>
        <v/>
      </c>
      <c r="C35" s="21" t="str">
        <f aca="false">IF(A35="","",IF(MAX(V35,AF35)&lt;=0,"Pass",IF(V35&gt;=AF35,"Flip","Value-add hold")))</f>
        <v/>
      </c>
      <c r="D35" s="23" t="str">
        <f aca="false">IF(A35="","",MAX(V35,AF35))</f>
        <v/>
      </c>
      <c r="E35" s="24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3" t="str">
        <f aca="false">IF(A35="","",IF(C35="Flip",W35,IF(C35="Value-add hold",AG35,0)))</f>
        <v/>
      </c>
      <c r="G35" s="24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1" t="str">
        <f aca="false">IF(A35="","",IF(C35="Flip",IF(W35&lt;=FlipCeiling,"In $300k flip box","Over flip ceiling: needs to be exceptional"),IF(C35="Value-add hold","Value-add","")))</f>
        <v/>
      </c>
      <c r="I35" s="24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4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2" t="str">
        <f aca="false">IF(A35="","",IF(OR(Deals!Q35="Occupied",AND(Deals!Q35&lt;&gt;"Vacant",UnknownAsOccupied="Y")),1,0))</f>
        <v/>
      </c>
      <c r="L35" s="25" t="str">
        <f aca="false">IF(A35="","",IFERROR(INDEX(ScopeMonths,MATCH(Deals!O35,ScopeNames,0)),INDEX(ScopeMonths,3)))</f>
        <v/>
      </c>
      <c r="M35" s="25" t="str">
        <f aca="false">IF(A35="","",DeedMonths+K35*EjectMonths+L35+SellMonths)</f>
        <v/>
      </c>
      <c r="N35" s="25" t="str">
        <f aca="false">IF(A35="","",DeedMonths+K35*EjectMonths+L35+LeaseUpMonths)</f>
        <v/>
      </c>
      <c r="O35" s="26" t="str">
        <f aca="false">IF(A35="","",N(Deals!G35)*IFERROR(INDEX(ScopePSF,MATCH(Deals!O35,ScopeNames,0)),INDEX(ScopePSF,3))*(1+Contingency)+BlindAllowance+N(Deals!P35))</f>
        <v/>
      </c>
      <c r="P35" s="26" t="str">
        <f aca="false">IF(A35="","",IF(N(Deals!K35)&gt;0,Deals!K35,N(Deals!M35))*TaxRate/12+VacantInsMo+SecuringMo+UtilitiesMo+N(Deals!T35))</f>
        <v/>
      </c>
      <c r="Q35" s="26" t="str">
        <f aca="false">IF(A35="","",SheriffFees+PurchaseTitle+CompelDeedLegal+K35*PossessionCost+N(Deals!R35)+N(Deals!T35)*HOAArrearsMonths)</f>
        <v/>
      </c>
      <c r="R35" s="26" t="str">
        <f aca="false">IF(A35="","",N(Deals!M35)*(BrokerPct+SellerRTT+SellClosingPct+ConcessionsPct))</f>
        <v/>
      </c>
      <c r="S35" s="26" t="str">
        <f aca="false">IF(A35="","",Q35+O35+P35*M35)</f>
        <v/>
      </c>
      <c r="T35" s="26" t="str">
        <f aca="false">IF(A35="","",N(Deals!M35)-R35-S35)</f>
        <v/>
      </c>
      <c r="U35" s="26" t="str">
        <f aca="false">IF(A35="","",MIN(T35-FlipTarget,(T35-FlipMinAnnROI*M35/12*S35)/(1+FlipMinAnnROI*M35/12)))</f>
        <v/>
      </c>
      <c r="V35" s="26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26" t="str">
        <f aca="false">IF(A35="","",((V35)*(1+BuyerPremium)+IF(N(Deals!S35)=0,0,MIN(N(Deals!S35),MAX(0,N(Deals!S35)+SheriffCostsFromBid-(V35)*(1-RTTPurchase)))))+S35)</f>
        <v/>
      </c>
      <c r="X35" s="26" t="str">
        <f aca="false">IF(A35="","",T35-((V35)*(1+BuyerPremium)+IF(N(Deals!S35)=0,0,MIN(N(Deals!S35),MAX(0,N(Deals!S35)+SheriffCostsFromBid-(V35)*(1-RTTPurchase))))))</f>
        <v/>
      </c>
      <c r="Y35" s="27" t="str">
        <f aca="false">IF(A35="","",IFERROR(X35/W35/(M35/12),0))</f>
        <v/>
      </c>
      <c r="Z35" s="26" t="str">
        <f aca="false">IF(A35="","",N(Deals!N35)*12*(1-Vacancy)*(1-MgmtPct-MaintPct-CapexPct)-N(Deals!M35)*TaxRate-MAX(1,N(Deals!J35))*(InsPerUnit+WaterPerUnit)-N(Deals!T35)*12)</f>
        <v/>
      </c>
      <c r="AA35" s="26" t="str">
        <f aca="false">IF(A35="","",Q35+O35+P35*N35)</f>
        <v/>
      </c>
      <c r="AB35" s="26" t="str">
        <f aca="false">IF(A35="","",MAX(0,MIN(RefiLTV*N(Deals!M35),Z35/(RefiDSCR*12*PMT(RefiRate/12,RefiTerm*12,-1)))))</f>
        <v/>
      </c>
      <c r="AC35" s="26" t="str">
        <f aca="false">IF(A35="","",Z35-AB35*12*PMT(RefiRate/12,RefiTerm*12,-1))</f>
        <v/>
      </c>
      <c r="AD35" s="26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26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26" t="str">
        <f aca="false">IF(A35="","",IF(HoldMeasure="Cash-on-cash",AE35,AD35))</f>
        <v/>
      </c>
      <c r="AG35" s="26" t="str">
        <f aca="false">IF(A35="","",((AF35)*(1+BuyerPremium)+IF(N(Deals!S35)=0,0,MIN(N(Deals!S35),MAX(0,N(Deals!S35)+SheriffCostsFromBid-(AF35)*(1-RTTPurchase)))))+AA35)</f>
        <v/>
      </c>
      <c r="AH35" s="27" t="str">
        <f aca="false">IF(A35="","",IFERROR(Z35/AG35,0))</f>
        <v/>
      </c>
      <c r="AI35" s="26" t="str">
        <f aca="false">IF(A35="","",AG35-AB35*(1-RefiCostPct))</f>
        <v/>
      </c>
      <c r="AJ35" s="27" t="str">
        <f aca="false">IF(A35="","",IF(AI35&lt;=0,"All cash out",AC35/AI35))</f>
        <v/>
      </c>
      <c r="AK35" s="26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26" t="str">
        <f aca="false">IF(OR(A35="",N(Deals!U35)=0),"",Deals!U35*N(Deals!W35))</f>
        <v/>
      </c>
      <c r="AM35" s="26" t="str">
        <f aca="false">IF(AL35="","",DemoCost+N(Deals!V35)*BuildCostPSF*(1+SoftCostPct)+P35*(DeedMonths+K35*EjectMonths+BuildMonths+SellMonths)+Q35+AL35*(BrokerPct+SellerRTT+SellClosingPct+ConcessionsPct))</f>
        <v/>
      </c>
      <c r="AN35" s="26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false" outlineLevel="0" collapsed="false">
      <c r="A36" s="22" t="str">
        <f aca="false">IF(Deals!A36="","",Deals!A36)</f>
        <v/>
      </c>
      <c r="B36" s="0" t="str">
        <f aca="false">IF(A36="","",Deals!B36)</f>
        <v/>
      </c>
      <c r="C36" s="21" t="str">
        <f aca="false">IF(A36="","",IF(MAX(V36,AF36)&lt;=0,"Pass",IF(V36&gt;=AF36,"Flip","Value-add hold")))</f>
        <v/>
      </c>
      <c r="D36" s="23" t="str">
        <f aca="false">IF(A36="","",MAX(V36,AF36))</f>
        <v/>
      </c>
      <c r="E36" s="24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3" t="str">
        <f aca="false">IF(A36="","",IF(C36="Flip",W36,IF(C36="Value-add hold",AG36,0)))</f>
        <v/>
      </c>
      <c r="G36" s="24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1" t="str">
        <f aca="false">IF(A36="","",IF(C36="Flip",IF(W36&lt;=FlipCeiling,"In $300k flip box","Over flip ceiling: needs to be exceptional"),IF(C36="Value-add hold","Value-add","")))</f>
        <v/>
      </c>
      <c r="I36" s="24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4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2" t="str">
        <f aca="false">IF(A36="","",IF(OR(Deals!Q36="Occupied",AND(Deals!Q36&lt;&gt;"Vacant",UnknownAsOccupied="Y")),1,0))</f>
        <v/>
      </c>
      <c r="L36" s="25" t="str">
        <f aca="false">IF(A36="","",IFERROR(INDEX(ScopeMonths,MATCH(Deals!O36,ScopeNames,0)),INDEX(ScopeMonths,3)))</f>
        <v/>
      </c>
      <c r="M36" s="25" t="str">
        <f aca="false">IF(A36="","",DeedMonths+K36*EjectMonths+L36+SellMonths)</f>
        <v/>
      </c>
      <c r="N36" s="25" t="str">
        <f aca="false">IF(A36="","",DeedMonths+K36*EjectMonths+L36+LeaseUpMonths)</f>
        <v/>
      </c>
      <c r="O36" s="26" t="str">
        <f aca="false">IF(A36="","",N(Deals!G36)*IFERROR(INDEX(ScopePSF,MATCH(Deals!O36,ScopeNames,0)),INDEX(ScopePSF,3))*(1+Contingency)+BlindAllowance+N(Deals!P36))</f>
        <v/>
      </c>
      <c r="P36" s="26" t="str">
        <f aca="false">IF(A36="","",IF(N(Deals!K36)&gt;0,Deals!K36,N(Deals!M36))*TaxRate/12+VacantInsMo+SecuringMo+UtilitiesMo+N(Deals!T36))</f>
        <v/>
      </c>
      <c r="Q36" s="26" t="str">
        <f aca="false">IF(A36="","",SheriffFees+PurchaseTitle+CompelDeedLegal+K36*PossessionCost+N(Deals!R36)+N(Deals!T36)*HOAArrearsMonths)</f>
        <v/>
      </c>
      <c r="R36" s="26" t="str">
        <f aca="false">IF(A36="","",N(Deals!M36)*(BrokerPct+SellerRTT+SellClosingPct+ConcessionsPct))</f>
        <v/>
      </c>
      <c r="S36" s="26" t="str">
        <f aca="false">IF(A36="","",Q36+O36+P36*M36)</f>
        <v/>
      </c>
      <c r="T36" s="26" t="str">
        <f aca="false">IF(A36="","",N(Deals!M36)-R36-S36)</f>
        <v/>
      </c>
      <c r="U36" s="26" t="str">
        <f aca="false">IF(A36="","",MIN(T36-FlipTarget,(T36-FlipMinAnnROI*M36/12*S36)/(1+FlipMinAnnROI*M36/12)))</f>
        <v/>
      </c>
      <c r="V36" s="26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26" t="str">
        <f aca="false">IF(A36="","",((V36)*(1+BuyerPremium)+IF(N(Deals!S36)=0,0,MIN(N(Deals!S36),MAX(0,N(Deals!S36)+SheriffCostsFromBid-(V36)*(1-RTTPurchase)))))+S36)</f>
        <v/>
      </c>
      <c r="X36" s="26" t="str">
        <f aca="false">IF(A36="","",T36-((V36)*(1+BuyerPremium)+IF(N(Deals!S36)=0,0,MIN(N(Deals!S36),MAX(0,N(Deals!S36)+SheriffCostsFromBid-(V36)*(1-RTTPurchase))))))</f>
        <v/>
      </c>
      <c r="Y36" s="27" t="str">
        <f aca="false">IF(A36="","",IFERROR(X36/W36/(M36/12),0))</f>
        <v/>
      </c>
      <c r="Z36" s="26" t="str">
        <f aca="false">IF(A36="","",N(Deals!N36)*12*(1-Vacancy)*(1-MgmtPct-MaintPct-CapexPct)-N(Deals!M36)*TaxRate-MAX(1,N(Deals!J36))*(InsPerUnit+WaterPerUnit)-N(Deals!T36)*12)</f>
        <v/>
      </c>
      <c r="AA36" s="26" t="str">
        <f aca="false">IF(A36="","",Q36+O36+P36*N36)</f>
        <v/>
      </c>
      <c r="AB36" s="26" t="str">
        <f aca="false">IF(A36="","",MAX(0,MIN(RefiLTV*N(Deals!M36),Z36/(RefiDSCR*12*PMT(RefiRate/12,RefiTerm*12,-1)))))</f>
        <v/>
      </c>
      <c r="AC36" s="26" t="str">
        <f aca="false">IF(A36="","",Z36-AB36*12*PMT(RefiRate/12,RefiTerm*12,-1))</f>
        <v/>
      </c>
      <c r="AD36" s="26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26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26" t="str">
        <f aca="false">IF(A36="","",IF(HoldMeasure="Cash-on-cash",AE36,AD36))</f>
        <v/>
      </c>
      <c r="AG36" s="26" t="str">
        <f aca="false">IF(A36="","",((AF36)*(1+BuyerPremium)+IF(N(Deals!S36)=0,0,MIN(N(Deals!S36),MAX(0,N(Deals!S36)+SheriffCostsFromBid-(AF36)*(1-RTTPurchase)))))+AA36)</f>
        <v/>
      </c>
      <c r="AH36" s="27" t="str">
        <f aca="false">IF(A36="","",IFERROR(Z36/AG36,0))</f>
        <v/>
      </c>
      <c r="AI36" s="26" t="str">
        <f aca="false">IF(A36="","",AG36-AB36*(1-RefiCostPct))</f>
        <v/>
      </c>
      <c r="AJ36" s="27" t="str">
        <f aca="false">IF(A36="","",IF(AI36&lt;=0,"All cash out",AC36/AI36))</f>
        <v/>
      </c>
      <c r="AK36" s="26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26" t="str">
        <f aca="false">IF(OR(A36="",N(Deals!U36)=0),"",Deals!U36*N(Deals!W36))</f>
        <v/>
      </c>
      <c r="AM36" s="26" t="str">
        <f aca="false">IF(AL36="","",DemoCost+N(Deals!V36)*BuildCostPSF*(1+SoftCostPct)+P36*(DeedMonths+K36*EjectMonths+BuildMonths+SellMonths)+Q36+AL36*(BrokerPct+SellerRTT+SellClosingPct+ConcessionsPct))</f>
        <v/>
      </c>
      <c r="AN36" s="26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false" outlineLevel="0" collapsed="false">
      <c r="A37" s="22" t="str">
        <f aca="false">IF(Deals!A37="","",Deals!A37)</f>
        <v/>
      </c>
      <c r="B37" s="0" t="str">
        <f aca="false">IF(A37="","",Deals!B37)</f>
        <v/>
      </c>
      <c r="C37" s="21" t="str">
        <f aca="false">IF(A37="","",IF(MAX(V37,AF37)&lt;=0,"Pass",IF(V37&gt;=AF37,"Flip","Value-add hold")))</f>
        <v/>
      </c>
      <c r="D37" s="23" t="str">
        <f aca="false">IF(A37="","",MAX(V37,AF37))</f>
        <v/>
      </c>
      <c r="E37" s="24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3" t="str">
        <f aca="false">IF(A37="","",IF(C37="Flip",W37,IF(C37="Value-add hold",AG37,0)))</f>
        <v/>
      </c>
      <c r="G37" s="24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1" t="str">
        <f aca="false">IF(A37="","",IF(C37="Flip",IF(W37&lt;=FlipCeiling,"In $300k flip box","Over flip ceiling: needs to be exceptional"),IF(C37="Value-add hold","Value-add","")))</f>
        <v/>
      </c>
      <c r="I37" s="24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4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2" t="str">
        <f aca="false">IF(A37="","",IF(OR(Deals!Q37="Occupied",AND(Deals!Q37&lt;&gt;"Vacant",UnknownAsOccupied="Y")),1,0))</f>
        <v/>
      </c>
      <c r="L37" s="25" t="str">
        <f aca="false">IF(A37="","",IFERROR(INDEX(ScopeMonths,MATCH(Deals!O37,ScopeNames,0)),INDEX(ScopeMonths,3)))</f>
        <v/>
      </c>
      <c r="M37" s="25" t="str">
        <f aca="false">IF(A37="","",DeedMonths+K37*EjectMonths+L37+SellMonths)</f>
        <v/>
      </c>
      <c r="N37" s="25" t="str">
        <f aca="false">IF(A37="","",DeedMonths+K37*EjectMonths+L37+LeaseUpMonths)</f>
        <v/>
      </c>
      <c r="O37" s="26" t="str">
        <f aca="false">IF(A37="","",N(Deals!G37)*IFERROR(INDEX(ScopePSF,MATCH(Deals!O37,ScopeNames,0)),INDEX(ScopePSF,3))*(1+Contingency)+BlindAllowance+N(Deals!P37))</f>
        <v/>
      </c>
      <c r="P37" s="26" t="str">
        <f aca="false">IF(A37="","",IF(N(Deals!K37)&gt;0,Deals!K37,N(Deals!M37))*TaxRate/12+VacantInsMo+SecuringMo+UtilitiesMo+N(Deals!T37))</f>
        <v/>
      </c>
      <c r="Q37" s="26" t="str">
        <f aca="false">IF(A37="","",SheriffFees+PurchaseTitle+CompelDeedLegal+K37*PossessionCost+N(Deals!R37)+N(Deals!T37)*HOAArrearsMonths)</f>
        <v/>
      </c>
      <c r="R37" s="26" t="str">
        <f aca="false">IF(A37="","",N(Deals!M37)*(BrokerPct+SellerRTT+SellClosingPct+ConcessionsPct))</f>
        <v/>
      </c>
      <c r="S37" s="26" t="str">
        <f aca="false">IF(A37="","",Q37+O37+P37*M37)</f>
        <v/>
      </c>
      <c r="T37" s="26" t="str">
        <f aca="false">IF(A37="","",N(Deals!M37)-R37-S37)</f>
        <v/>
      </c>
      <c r="U37" s="26" t="str">
        <f aca="false">IF(A37="","",MIN(T37-FlipTarget,(T37-FlipMinAnnROI*M37/12*S37)/(1+FlipMinAnnROI*M37/12)))</f>
        <v/>
      </c>
      <c r="V37" s="26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26" t="str">
        <f aca="false">IF(A37="","",((V37)*(1+BuyerPremium)+IF(N(Deals!S37)=0,0,MIN(N(Deals!S37),MAX(0,N(Deals!S37)+SheriffCostsFromBid-(V37)*(1-RTTPurchase)))))+S37)</f>
        <v/>
      </c>
      <c r="X37" s="26" t="str">
        <f aca="false">IF(A37="","",T37-((V37)*(1+BuyerPremium)+IF(N(Deals!S37)=0,0,MIN(N(Deals!S37),MAX(0,N(Deals!S37)+SheriffCostsFromBid-(V37)*(1-RTTPurchase))))))</f>
        <v/>
      </c>
      <c r="Y37" s="27" t="str">
        <f aca="false">IF(A37="","",IFERROR(X37/W37/(M37/12),0))</f>
        <v/>
      </c>
      <c r="Z37" s="26" t="str">
        <f aca="false">IF(A37="","",N(Deals!N37)*12*(1-Vacancy)*(1-MgmtPct-MaintPct-CapexPct)-N(Deals!M37)*TaxRate-MAX(1,N(Deals!J37))*(InsPerUnit+WaterPerUnit)-N(Deals!T37)*12)</f>
        <v/>
      </c>
      <c r="AA37" s="26" t="str">
        <f aca="false">IF(A37="","",Q37+O37+P37*N37)</f>
        <v/>
      </c>
      <c r="AB37" s="26" t="str">
        <f aca="false">IF(A37="","",MAX(0,MIN(RefiLTV*N(Deals!M37),Z37/(RefiDSCR*12*PMT(RefiRate/12,RefiTerm*12,-1)))))</f>
        <v/>
      </c>
      <c r="AC37" s="26" t="str">
        <f aca="false">IF(A37="","",Z37-AB37*12*PMT(RefiRate/12,RefiTerm*12,-1))</f>
        <v/>
      </c>
      <c r="AD37" s="26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26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26" t="str">
        <f aca="false">IF(A37="","",IF(HoldMeasure="Cash-on-cash",AE37,AD37))</f>
        <v/>
      </c>
      <c r="AG37" s="26" t="str">
        <f aca="false">IF(A37="","",((AF37)*(1+BuyerPremium)+IF(N(Deals!S37)=0,0,MIN(N(Deals!S37),MAX(0,N(Deals!S37)+SheriffCostsFromBid-(AF37)*(1-RTTPurchase)))))+AA37)</f>
        <v/>
      </c>
      <c r="AH37" s="27" t="str">
        <f aca="false">IF(A37="","",IFERROR(Z37/AG37,0))</f>
        <v/>
      </c>
      <c r="AI37" s="26" t="str">
        <f aca="false">IF(A37="","",AG37-AB37*(1-RefiCostPct))</f>
        <v/>
      </c>
      <c r="AJ37" s="27" t="str">
        <f aca="false">IF(A37="","",IF(AI37&lt;=0,"All cash out",AC37/AI37))</f>
        <v/>
      </c>
      <c r="AK37" s="26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26" t="str">
        <f aca="false">IF(OR(A37="",N(Deals!U37)=0),"",Deals!U37*N(Deals!W37))</f>
        <v/>
      </c>
      <c r="AM37" s="26" t="str">
        <f aca="false">IF(AL37="","",DemoCost+N(Deals!V37)*BuildCostPSF*(1+SoftCostPct)+P37*(DeedMonths+K37*EjectMonths+BuildMonths+SellMonths)+Q37+AL37*(BrokerPct+SellerRTT+SellClosingPct+ConcessionsPct))</f>
        <v/>
      </c>
      <c r="AN37" s="26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false" outlineLevel="0" collapsed="false">
      <c r="A38" s="22" t="str">
        <f aca="false">IF(Deals!A38="","",Deals!A38)</f>
        <v/>
      </c>
      <c r="B38" s="0" t="str">
        <f aca="false">IF(A38="","",Deals!B38)</f>
        <v/>
      </c>
      <c r="C38" s="21" t="str">
        <f aca="false">IF(A38="","",IF(MAX(V38,AF38)&lt;=0,"Pass",IF(V38&gt;=AF38,"Flip","Value-add hold")))</f>
        <v/>
      </c>
      <c r="D38" s="23" t="str">
        <f aca="false">IF(A38="","",MAX(V38,AF38))</f>
        <v/>
      </c>
      <c r="E38" s="24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3" t="str">
        <f aca="false">IF(A38="","",IF(C38="Flip",W38,IF(C38="Value-add hold",AG38,0)))</f>
        <v/>
      </c>
      <c r="G38" s="24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1" t="str">
        <f aca="false">IF(A38="","",IF(C38="Flip",IF(W38&lt;=FlipCeiling,"In $300k flip box","Over flip ceiling: needs to be exceptional"),IF(C38="Value-add hold","Value-add","")))</f>
        <v/>
      </c>
      <c r="I38" s="24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4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2" t="str">
        <f aca="false">IF(A38="","",IF(OR(Deals!Q38="Occupied",AND(Deals!Q38&lt;&gt;"Vacant",UnknownAsOccupied="Y")),1,0))</f>
        <v/>
      </c>
      <c r="L38" s="25" t="str">
        <f aca="false">IF(A38="","",IFERROR(INDEX(ScopeMonths,MATCH(Deals!O38,ScopeNames,0)),INDEX(ScopeMonths,3)))</f>
        <v/>
      </c>
      <c r="M38" s="25" t="str">
        <f aca="false">IF(A38="","",DeedMonths+K38*EjectMonths+L38+SellMonths)</f>
        <v/>
      </c>
      <c r="N38" s="25" t="str">
        <f aca="false">IF(A38="","",DeedMonths+K38*EjectMonths+L38+LeaseUpMonths)</f>
        <v/>
      </c>
      <c r="O38" s="26" t="str">
        <f aca="false">IF(A38="","",N(Deals!G38)*IFERROR(INDEX(ScopePSF,MATCH(Deals!O38,ScopeNames,0)),INDEX(ScopePSF,3))*(1+Contingency)+BlindAllowance+N(Deals!P38))</f>
        <v/>
      </c>
      <c r="P38" s="26" t="str">
        <f aca="false">IF(A38="","",IF(N(Deals!K38)&gt;0,Deals!K38,N(Deals!M38))*TaxRate/12+VacantInsMo+SecuringMo+UtilitiesMo+N(Deals!T38))</f>
        <v/>
      </c>
      <c r="Q38" s="26" t="str">
        <f aca="false">IF(A38="","",SheriffFees+PurchaseTitle+CompelDeedLegal+K38*PossessionCost+N(Deals!R38)+N(Deals!T38)*HOAArrearsMonths)</f>
        <v/>
      </c>
      <c r="R38" s="26" t="str">
        <f aca="false">IF(A38="","",N(Deals!M38)*(BrokerPct+SellerRTT+SellClosingPct+ConcessionsPct))</f>
        <v/>
      </c>
      <c r="S38" s="26" t="str">
        <f aca="false">IF(A38="","",Q38+O38+P38*M38)</f>
        <v/>
      </c>
      <c r="T38" s="26" t="str">
        <f aca="false">IF(A38="","",N(Deals!M38)-R38-S38)</f>
        <v/>
      </c>
      <c r="U38" s="26" t="str">
        <f aca="false">IF(A38="","",MIN(T38-FlipTarget,(T38-FlipMinAnnROI*M38/12*S38)/(1+FlipMinAnnROI*M38/12)))</f>
        <v/>
      </c>
      <c r="V38" s="26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26" t="str">
        <f aca="false">IF(A38="","",((V38)*(1+BuyerPremium)+IF(N(Deals!S38)=0,0,MIN(N(Deals!S38),MAX(0,N(Deals!S38)+SheriffCostsFromBid-(V38)*(1-RTTPurchase)))))+S38)</f>
        <v/>
      </c>
      <c r="X38" s="26" t="str">
        <f aca="false">IF(A38="","",T38-((V38)*(1+BuyerPremium)+IF(N(Deals!S38)=0,0,MIN(N(Deals!S38),MAX(0,N(Deals!S38)+SheriffCostsFromBid-(V38)*(1-RTTPurchase))))))</f>
        <v/>
      </c>
      <c r="Y38" s="27" t="str">
        <f aca="false">IF(A38="","",IFERROR(X38/W38/(M38/12),0))</f>
        <v/>
      </c>
      <c r="Z38" s="26" t="str">
        <f aca="false">IF(A38="","",N(Deals!N38)*12*(1-Vacancy)*(1-MgmtPct-MaintPct-CapexPct)-N(Deals!M38)*TaxRate-MAX(1,N(Deals!J38))*(InsPerUnit+WaterPerUnit)-N(Deals!T38)*12)</f>
        <v/>
      </c>
      <c r="AA38" s="26" t="str">
        <f aca="false">IF(A38="","",Q38+O38+P38*N38)</f>
        <v/>
      </c>
      <c r="AB38" s="26" t="str">
        <f aca="false">IF(A38="","",MAX(0,MIN(RefiLTV*N(Deals!M38),Z38/(RefiDSCR*12*PMT(RefiRate/12,RefiTerm*12,-1)))))</f>
        <v/>
      </c>
      <c r="AC38" s="26" t="str">
        <f aca="false">IF(A38="","",Z38-AB38*12*PMT(RefiRate/12,RefiTerm*12,-1))</f>
        <v/>
      </c>
      <c r="AD38" s="26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26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26" t="str">
        <f aca="false">IF(A38="","",IF(HoldMeasure="Cash-on-cash",AE38,AD38))</f>
        <v/>
      </c>
      <c r="AG38" s="26" t="str">
        <f aca="false">IF(A38="","",((AF38)*(1+BuyerPremium)+IF(N(Deals!S38)=0,0,MIN(N(Deals!S38),MAX(0,N(Deals!S38)+SheriffCostsFromBid-(AF38)*(1-RTTPurchase)))))+AA38)</f>
        <v/>
      </c>
      <c r="AH38" s="27" t="str">
        <f aca="false">IF(A38="","",IFERROR(Z38/AG38,0))</f>
        <v/>
      </c>
      <c r="AI38" s="26" t="str">
        <f aca="false">IF(A38="","",AG38-AB38*(1-RefiCostPct))</f>
        <v/>
      </c>
      <c r="AJ38" s="27" t="str">
        <f aca="false">IF(A38="","",IF(AI38&lt;=0,"All cash out",AC38/AI38))</f>
        <v/>
      </c>
      <c r="AK38" s="26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26" t="str">
        <f aca="false">IF(OR(A38="",N(Deals!U38)=0),"",Deals!U38*N(Deals!W38))</f>
        <v/>
      </c>
      <c r="AM38" s="26" t="str">
        <f aca="false">IF(AL38="","",DemoCost+N(Deals!V38)*BuildCostPSF*(1+SoftCostPct)+P38*(DeedMonths+K38*EjectMonths+BuildMonths+SellMonths)+Q38+AL38*(BrokerPct+SellerRTT+SellClosingPct+ConcessionsPct))</f>
        <v/>
      </c>
      <c r="AN38" s="26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false" outlineLevel="0" collapsed="false">
      <c r="A39" s="22" t="str">
        <f aca="false">IF(Deals!A39="","",Deals!A39)</f>
        <v/>
      </c>
      <c r="B39" s="0" t="str">
        <f aca="false">IF(A39="","",Deals!B39)</f>
        <v/>
      </c>
      <c r="C39" s="21" t="str">
        <f aca="false">IF(A39="","",IF(MAX(V39,AF39)&lt;=0,"Pass",IF(V39&gt;=AF39,"Flip","Value-add hold")))</f>
        <v/>
      </c>
      <c r="D39" s="23" t="str">
        <f aca="false">IF(A39="","",MAX(V39,AF39))</f>
        <v/>
      </c>
      <c r="E39" s="24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3" t="str">
        <f aca="false">IF(A39="","",IF(C39="Flip",W39,IF(C39="Value-add hold",AG39,0)))</f>
        <v/>
      </c>
      <c r="G39" s="24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1" t="str">
        <f aca="false">IF(A39="","",IF(C39="Flip",IF(W39&lt;=FlipCeiling,"In $300k flip box","Over flip ceiling: needs to be exceptional"),IF(C39="Value-add hold","Value-add","")))</f>
        <v/>
      </c>
      <c r="I39" s="24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4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2" t="str">
        <f aca="false">IF(A39="","",IF(OR(Deals!Q39="Occupied",AND(Deals!Q39&lt;&gt;"Vacant",UnknownAsOccupied="Y")),1,0))</f>
        <v/>
      </c>
      <c r="L39" s="25" t="str">
        <f aca="false">IF(A39="","",IFERROR(INDEX(ScopeMonths,MATCH(Deals!O39,ScopeNames,0)),INDEX(ScopeMonths,3)))</f>
        <v/>
      </c>
      <c r="M39" s="25" t="str">
        <f aca="false">IF(A39="","",DeedMonths+K39*EjectMonths+L39+SellMonths)</f>
        <v/>
      </c>
      <c r="N39" s="25" t="str">
        <f aca="false">IF(A39="","",DeedMonths+K39*EjectMonths+L39+LeaseUpMonths)</f>
        <v/>
      </c>
      <c r="O39" s="26" t="str">
        <f aca="false">IF(A39="","",N(Deals!G39)*IFERROR(INDEX(ScopePSF,MATCH(Deals!O39,ScopeNames,0)),INDEX(ScopePSF,3))*(1+Contingency)+BlindAllowance+N(Deals!P39))</f>
        <v/>
      </c>
      <c r="P39" s="26" t="str">
        <f aca="false">IF(A39="","",IF(N(Deals!K39)&gt;0,Deals!K39,N(Deals!M39))*TaxRate/12+VacantInsMo+SecuringMo+UtilitiesMo+N(Deals!T39))</f>
        <v/>
      </c>
      <c r="Q39" s="26" t="str">
        <f aca="false">IF(A39="","",SheriffFees+PurchaseTitle+CompelDeedLegal+K39*PossessionCost+N(Deals!R39)+N(Deals!T39)*HOAArrearsMonths)</f>
        <v/>
      </c>
      <c r="R39" s="26" t="str">
        <f aca="false">IF(A39="","",N(Deals!M39)*(BrokerPct+SellerRTT+SellClosingPct+ConcessionsPct))</f>
        <v/>
      </c>
      <c r="S39" s="26" t="str">
        <f aca="false">IF(A39="","",Q39+O39+P39*M39)</f>
        <v/>
      </c>
      <c r="T39" s="26" t="str">
        <f aca="false">IF(A39="","",N(Deals!M39)-R39-S39)</f>
        <v/>
      </c>
      <c r="U39" s="26" t="str">
        <f aca="false">IF(A39="","",MIN(T39-FlipTarget,(T39-FlipMinAnnROI*M39/12*S39)/(1+FlipMinAnnROI*M39/12)))</f>
        <v/>
      </c>
      <c r="V39" s="26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26" t="str">
        <f aca="false">IF(A39="","",((V39)*(1+BuyerPremium)+IF(N(Deals!S39)=0,0,MIN(N(Deals!S39),MAX(0,N(Deals!S39)+SheriffCostsFromBid-(V39)*(1-RTTPurchase)))))+S39)</f>
        <v/>
      </c>
      <c r="X39" s="26" t="str">
        <f aca="false">IF(A39="","",T39-((V39)*(1+BuyerPremium)+IF(N(Deals!S39)=0,0,MIN(N(Deals!S39),MAX(0,N(Deals!S39)+SheriffCostsFromBid-(V39)*(1-RTTPurchase))))))</f>
        <v/>
      </c>
      <c r="Y39" s="27" t="str">
        <f aca="false">IF(A39="","",IFERROR(X39/W39/(M39/12),0))</f>
        <v/>
      </c>
      <c r="Z39" s="26" t="str">
        <f aca="false">IF(A39="","",N(Deals!N39)*12*(1-Vacancy)*(1-MgmtPct-MaintPct-CapexPct)-N(Deals!M39)*TaxRate-MAX(1,N(Deals!J39))*(InsPerUnit+WaterPerUnit)-N(Deals!T39)*12)</f>
        <v/>
      </c>
      <c r="AA39" s="26" t="str">
        <f aca="false">IF(A39="","",Q39+O39+P39*N39)</f>
        <v/>
      </c>
      <c r="AB39" s="26" t="str">
        <f aca="false">IF(A39="","",MAX(0,MIN(RefiLTV*N(Deals!M39),Z39/(RefiDSCR*12*PMT(RefiRate/12,RefiTerm*12,-1)))))</f>
        <v/>
      </c>
      <c r="AC39" s="26" t="str">
        <f aca="false">IF(A39="","",Z39-AB39*12*PMT(RefiRate/12,RefiTerm*12,-1))</f>
        <v/>
      </c>
      <c r="AD39" s="26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26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26" t="str">
        <f aca="false">IF(A39="","",IF(HoldMeasure="Cash-on-cash",AE39,AD39))</f>
        <v/>
      </c>
      <c r="AG39" s="26" t="str">
        <f aca="false">IF(A39="","",((AF39)*(1+BuyerPremium)+IF(N(Deals!S39)=0,0,MIN(N(Deals!S39),MAX(0,N(Deals!S39)+SheriffCostsFromBid-(AF39)*(1-RTTPurchase)))))+AA39)</f>
        <v/>
      </c>
      <c r="AH39" s="27" t="str">
        <f aca="false">IF(A39="","",IFERROR(Z39/AG39,0))</f>
        <v/>
      </c>
      <c r="AI39" s="26" t="str">
        <f aca="false">IF(A39="","",AG39-AB39*(1-RefiCostPct))</f>
        <v/>
      </c>
      <c r="AJ39" s="27" t="str">
        <f aca="false">IF(A39="","",IF(AI39&lt;=0,"All cash out",AC39/AI39))</f>
        <v/>
      </c>
      <c r="AK39" s="26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26" t="str">
        <f aca="false">IF(OR(A39="",N(Deals!U39)=0),"",Deals!U39*N(Deals!W39))</f>
        <v/>
      </c>
      <c r="AM39" s="26" t="str">
        <f aca="false">IF(AL39="","",DemoCost+N(Deals!V39)*BuildCostPSF*(1+SoftCostPct)+P39*(DeedMonths+K39*EjectMonths+BuildMonths+SellMonths)+Q39+AL39*(BrokerPct+SellerRTT+SellClosingPct+ConcessionsPct))</f>
        <v/>
      </c>
      <c r="AN39" s="26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false" outlineLevel="0" collapsed="false">
      <c r="A40" s="22" t="str">
        <f aca="false">IF(Deals!A40="","",Deals!A40)</f>
        <v/>
      </c>
      <c r="B40" s="0" t="str">
        <f aca="false">IF(A40="","",Deals!B40)</f>
        <v/>
      </c>
      <c r="C40" s="21" t="str">
        <f aca="false">IF(A40="","",IF(MAX(V40,AF40)&lt;=0,"Pass",IF(V40&gt;=AF40,"Flip","Value-add hold")))</f>
        <v/>
      </c>
      <c r="D40" s="23" t="str">
        <f aca="false">IF(A40="","",MAX(V40,AF40))</f>
        <v/>
      </c>
      <c r="E40" s="24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3" t="str">
        <f aca="false">IF(A40="","",IF(C40="Flip",W40,IF(C40="Value-add hold",AG40,0)))</f>
        <v/>
      </c>
      <c r="G40" s="24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1" t="str">
        <f aca="false">IF(A40="","",IF(C40="Flip",IF(W40&lt;=FlipCeiling,"In $300k flip box","Over flip ceiling: needs to be exceptional"),IF(C40="Value-add hold","Value-add","")))</f>
        <v/>
      </c>
      <c r="I40" s="24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4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2" t="str">
        <f aca="false">IF(A40="","",IF(OR(Deals!Q40="Occupied",AND(Deals!Q40&lt;&gt;"Vacant",UnknownAsOccupied="Y")),1,0))</f>
        <v/>
      </c>
      <c r="L40" s="25" t="str">
        <f aca="false">IF(A40="","",IFERROR(INDEX(ScopeMonths,MATCH(Deals!O40,ScopeNames,0)),INDEX(ScopeMonths,3)))</f>
        <v/>
      </c>
      <c r="M40" s="25" t="str">
        <f aca="false">IF(A40="","",DeedMonths+K40*EjectMonths+L40+SellMonths)</f>
        <v/>
      </c>
      <c r="N40" s="25" t="str">
        <f aca="false">IF(A40="","",DeedMonths+K40*EjectMonths+L40+LeaseUpMonths)</f>
        <v/>
      </c>
      <c r="O40" s="26" t="str">
        <f aca="false">IF(A40="","",N(Deals!G40)*IFERROR(INDEX(ScopePSF,MATCH(Deals!O40,ScopeNames,0)),INDEX(ScopePSF,3))*(1+Contingency)+BlindAllowance+N(Deals!P40))</f>
        <v/>
      </c>
      <c r="P40" s="26" t="str">
        <f aca="false">IF(A40="","",IF(N(Deals!K40)&gt;0,Deals!K40,N(Deals!M40))*TaxRate/12+VacantInsMo+SecuringMo+UtilitiesMo+N(Deals!T40))</f>
        <v/>
      </c>
      <c r="Q40" s="26" t="str">
        <f aca="false">IF(A40="","",SheriffFees+PurchaseTitle+CompelDeedLegal+K40*PossessionCost+N(Deals!R40)+N(Deals!T40)*HOAArrearsMonths)</f>
        <v/>
      </c>
      <c r="R40" s="26" t="str">
        <f aca="false">IF(A40="","",N(Deals!M40)*(BrokerPct+SellerRTT+SellClosingPct+ConcessionsPct))</f>
        <v/>
      </c>
      <c r="S40" s="26" t="str">
        <f aca="false">IF(A40="","",Q40+O40+P40*M40)</f>
        <v/>
      </c>
      <c r="T40" s="26" t="str">
        <f aca="false">IF(A40="","",N(Deals!M40)-R40-S40)</f>
        <v/>
      </c>
      <c r="U40" s="26" t="str">
        <f aca="false">IF(A40="","",MIN(T40-FlipTarget,(T40-FlipMinAnnROI*M40/12*S40)/(1+FlipMinAnnROI*M40/12)))</f>
        <v/>
      </c>
      <c r="V40" s="26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26" t="str">
        <f aca="false">IF(A40="","",((V40)*(1+BuyerPremium)+IF(N(Deals!S40)=0,0,MIN(N(Deals!S40),MAX(0,N(Deals!S40)+SheriffCostsFromBid-(V40)*(1-RTTPurchase)))))+S40)</f>
        <v/>
      </c>
      <c r="X40" s="26" t="str">
        <f aca="false">IF(A40="","",T40-((V40)*(1+BuyerPremium)+IF(N(Deals!S40)=0,0,MIN(N(Deals!S40),MAX(0,N(Deals!S40)+SheriffCostsFromBid-(V40)*(1-RTTPurchase))))))</f>
        <v/>
      </c>
      <c r="Y40" s="27" t="str">
        <f aca="false">IF(A40="","",IFERROR(X40/W40/(M40/12),0))</f>
        <v/>
      </c>
      <c r="Z40" s="26" t="str">
        <f aca="false">IF(A40="","",N(Deals!N40)*12*(1-Vacancy)*(1-MgmtPct-MaintPct-CapexPct)-N(Deals!M40)*TaxRate-MAX(1,N(Deals!J40))*(InsPerUnit+WaterPerUnit)-N(Deals!T40)*12)</f>
        <v/>
      </c>
      <c r="AA40" s="26" t="str">
        <f aca="false">IF(A40="","",Q40+O40+P40*N40)</f>
        <v/>
      </c>
      <c r="AB40" s="26" t="str">
        <f aca="false">IF(A40="","",MAX(0,MIN(RefiLTV*N(Deals!M40),Z40/(RefiDSCR*12*PMT(RefiRate/12,RefiTerm*12,-1)))))</f>
        <v/>
      </c>
      <c r="AC40" s="26" t="str">
        <f aca="false">IF(A40="","",Z40-AB40*12*PMT(RefiRate/12,RefiTerm*12,-1))</f>
        <v/>
      </c>
      <c r="AD40" s="26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26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26" t="str">
        <f aca="false">IF(A40="","",IF(HoldMeasure="Cash-on-cash",AE40,AD40))</f>
        <v/>
      </c>
      <c r="AG40" s="26" t="str">
        <f aca="false">IF(A40="","",((AF40)*(1+BuyerPremium)+IF(N(Deals!S40)=0,0,MIN(N(Deals!S40),MAX(0,N(Deals!S40)+SheriffCostsFromBid-(AF40)*(1-RTTPurchase)))))+AA40)</f>
        <v/>
      </c>
      <c r="AH40" s="27" t="str">
        <f aca="false">IF(A40="","",IFERROR(Z40/AG40,0))</f>
        <v/>
      </c>
      <c r="AI40" s="26" t="str">
        <f aca="false">IF(A40="","",AG40-AB40*(1-RefiCostPct))</f>
        <v/>
      </c>
      <c r="AJ40" s="27" t="str">
        <f aca="false">IF(A40="","",IF(AI40&lt;=0,"All cash out",AC40/AI40))</f>
        <v/>
      </c>
      <c r="AK40" s="26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26" t="str">
        <f aca="false">IF(OR(A40="",N(Deals!U40)=0),"",Deals!U40*N(Deals!W40))</f>
        <v/>
      </c>
      <c r="AM40" s="26" t="str">
        <f aca="false">IF(AL40="","",DemoCost+N(Deals!V40)*BuildCostPSF*(1+SoftCostPct)+P40*(DeedMonths+K40*EjectMonths+BuildMonths+SellMonths)+Q40+AL40*(BrokerPct+SellerRTT+SellClosingPct+ConcessionsPct))</f>
        <v/>
      </c>
      <c r="AN40" s="26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false" outlineLevel="0" collapsed="false">
      <c r="A41" s="22" t="str">
        <f aca="false">IF(Deals!A41="","",Deals!A41)</f>
        <v/>
      </c>
      <c r="B41" s="0" t="str">
        <f aca="false">IF(A41="","",Deals!B41)</f>
        <v/>
      </c>
      <c r="C41" s="21" t="str">
        <f aca="false">IF(A41="","",IF(MAX(V41,AF41)&lt;=0,"Pass",IF(V41&gt;=AF41,"Flip","Value-add hold")))</f>
        <v/>
      </c>
      <c r="D41" s="23" t="str">
        <f aca="false">IF(A41="","",MAX(V41,AF41))</f>
        <v/>
      </c>
      <c r="E41" s="24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3" t="str">
        <f aca="false">IF(A41="","",IF(C41="Flip",W41,IF(C41="Value-add hold",AG41,0)))</f>
        <v/>
      </c>
      <c r="G41" s="24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1" t="str">
        <f aca="false">IF(A41="","",IF(C41="Flip",IF(W41&lt;=FlipCeiling,"In $300k flip box","Over flip ceiling: needs to be exceptional"),IF(C41="Value-add hold","Value-add","")))</f>
        <v/>
      </c>
      <c r="I41" s="24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4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2" t="str">
        <f aca="false">IF(A41="","",IF(OR(Deals!Q41="Occupied",AND(Deals!Q41&lt;&gt;"Vacant",UnknownAsOccupied="Y")),1,0))</f>
        <v/>
      </c>
      <c r="L41" s="25" t="str">
        <f aca="false">IF(A41="","",IFERROR(INDEX(ScopeMonths,MATCH(Deals!O41,ScopeNames,0)),INDEX(ScopeMonths,3)))</f>
        <v/>
      </c>
      <c r="M41" s="25" t="str">
        <f aca="false">IF(A41="","",DeedMonths+K41*EjectMonths+L41+SellMonths)</f>
        <v/>
      </c>
      <c r="N41" s="25" t="str">
        <f aca="false">IF(A41="","",DeedMonths+K41*EjectMonths+L41+LeaseUpMonths)</f>
        <v/>
      </c>
      <c r="O41" s="26" t="str">
        <f aca="false">IF(A41="","",N(Deals!G41)*IFERROR(INDEX(ScopePSF,MATCH(Deals!O41,ScopeNames,0)),INDEX(ScopePSF,3))*(1+Contingency)+BlindAllowance+N(Deals!P41))</f>
        <v/>
      </c>
      <c r="P41" s="26" t="str">
        <f aca="false">IF(A41="","",IF(N(Deals!K41)&gt;0,Deals!K41,N(Deals!M41))*TaxRate/12+VacantInsMo+SecuringMo+UtilitiesMo+N(Deals!T41))</f>
        <v/>
      </c>
      <c r="Q41" s="26" t="str">
        <f aca="false">IF(A41="","",SheriffFees+PurchaseTitle+CompelDeedLegal+K41*PossessionCost+N(Deals!R41)+N(Deals!T41)*HOAArrearsMonths)</f>
        <v/>
      </c>
      <c r="R41" s="26" t="str">
        <f aca="false">IF(A41="","",N(Deals!M41)*(BrokerPct+SellerRTT+SellClosingPct+ConcessionsPct))</f>
        <v/>
      </c>
      <c r="S41" s="26" t="str">
        <f aca="false">IF(A41="","",Q41+O41+P41*M41)</f>
        <v/>
      </c>
      <c r="T41" s="26" t="str">
        <f aca="false">IF(A41="","",N(Deals!M41)-R41-S41)</f>
        <v/>
      </c>
      <c r="U41" s="26" t="str">
        <f aca="false">IF(A41="","",MIN(T41-FlipTarget,(T41-FlipMinAnnROI*M41/12*S41)/(1+FlipMinAnnROI*M41/12)))</f>
        <v/>
      </c>
      <c r="V41" s="26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26" t="str">
        <f aca="false">IF(A41="","",((V41)*(1+BuyerPremium)+IF(N(Deals!S41)=0,0,MIN(N(Deals!S41),MAX(0,N(Deals!S41)+SheriffCostsFromBid-(V41)*(1-RTTPurchase)))))+S41)</f>
        <v/>
      </c>
      <c r="X41" s="26" t="str">
        <f aca="false">IF(A41="","",T41-((V41)*(1+BuyerPremium)+IF(N(Deals!S41)=0,0,MIN(N(Deals!S41),MAX(0,N(Deals!S41)+SheriffCostsFromBid-(V41)*(1-RTTPurchase))))))</f>
        <v/>
      </c>
      <c r="Y41" s="27" t="str">
        <f aca="false">IF(A41="","",IFERROR(X41/W41/(M41/12),0))</f>
        <v/>
      </c>
      <c r="Z41" s="26" t="str">
        <f aca="false">IF(A41="","",N(Deals!N41)*12*(1-Vacancy)*(1-MgmtPct-MaintPct-CapexPct)-N(Deals!M41)*TaxRate-MAX(1,N(Deals!J41))*(InsPerUnit+WaterPerUnit)-N(Deals!T41)*12)</f>
        <v/>
      </c>
      <c r="AA41" s="26" t="str">
        <f aca="false">IF(A41="","",Q41+O41+P41*N41)</f>
        <v/>
      </c>
      <c r="AB41" s="26" t="str">
        <f aca="false">IF(A41="","",MAX(0,MIN(RefiLTV*N(Deals!M41),Z41/(RefiDSCR*12*PMT(RefiRate/12,RefiTerm*12,-1)))))</f>
        <v/>
      </c>
      <c r="AC41" s="26" t="str">
        <f aca="false">IF(A41="","",Z41-AB41*12*PMT(RefiRate/12,RefiTerm*12,-1))</f>
        <v/>
      </c>
      <c r="AD41" s="26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26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26" t="str">
        <f aca="false">IF(A41="","",IF(HoldMeasure="Cash-on-cash",AE41,AD41))</f>
        <v/>
      </c>
      <c r="AG41" s="26" t="str">
        <f aca="false">IF(A41="","",((AF41)*(1+BuyerPremium)+IF(N(Deals!S41)=0,0,MIN(N(Deals!S41),MAX(0,N(Deals!S41)+SheriffCostsFromBid-(AF41)*(1-RTTPurchase)))))+AA41)</f>
        <v/>
      </c>
      <c r="AH41" s="27" t="str">
        <f aca="false">IF(A41="","",IFERROR(Z41/AG41,0))</f>
        <v/>
      </c>
      <c r="AI41" s="26" t="str">
        <f aca="false">IF(A41="","",AG41-AB41*(1-RefiCostPct))</f>
        <v/>
      </c>
      <c r="AJ41" s="27" t="str">
        <f aca="false">IF(A41="","",IF(AI41&lt;=0,"All cash out",AC41/AI41))</f>
        <v/>
      </c>
      <c r="AK41" s="26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26" t="str">
        <f aca="false">IF(OR(A41="",N(Deals!U41)=0),"",Deals!U41*N(Deals!W41))</f>
        <v/>
      </c>
      <c r="AM41" s="26" t="str">
        <f aca="false">IF(AL41="","",DemoCost+N(Deals!V41)*BuildCostPSF*(1+SoftCostPct)+P41*(DeedMonths+K41*EjectMonths+BuildMonths+SellMonths)+Q41+AL41*(BrokerPct+SellerRTT+SellClosingPct+ConcessionsPct))</f>
        <v/>
      </c>
      <c r="AN41" s="26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false" outlineLevel="0" collapsed="false">
      <c r="A42" s="22" t="str">
        <f aca="false">IF(Deals!A42="","",Deals!A42)</f>
        <v/>
      </c>
      <c r="B42" s="0" t="str">
        <f aca="false">IF(A42="","",Deals!B42)</f>
        <v/>
      </c>
      <c r="C42" s="21" t="str">
        <f aca="false">IF(A42="","",IF(MAX(V42,AF42)&lt;=0,"Pass",IF(V42&gt;=AF42,"Flip","Value-add hold")))</f>
        <v/>
      </c>
      <c r="D42" s="23" t="str">
        <f aca="false">IF(A42="","",MAX(V42,AF42))</f>
        <v/>
      </c>
      <c r="E42" s="24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3" t="str">
        <f aca="false">IF(A42="","",IF(C42="Flip",W42,IF(C42="Value-add hold",AG42,0)))</f>
        <v/>
      </c>
      <c r="G42" s="24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1" t="str">
        <f aca="false">IF(A42="","",IF(C42="Flip",IF(W42&lt;=FlipCeiling,"In $300k flip box","Over flip ceiling: needs to be exceptional"),IF(C42="Value-add hold","Value-add","")))</f>
        <v/>
      </c>
      <c r="I42" s="24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4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2" t="str">
        <f aca="false">IF(A42="","",IF(OR(Deals!Q42="Occupied",AND(Deals!Q42&lt;&gt;"Vacant",UnknownAsOccupied="Y")),1,0))</f>
        <v/>
      </c>
      <c r="L42" s="25" t="str">
        <f aca="false">IF(A42="","",IFERROR(INDEX(ScopeMonths,MATCH(Deals!O42,ScopeNames,0)),INDEX(ScopeMonths,3)))</f>
        <v/>
      </c>
      <c r="M42" s="25" t="str">
        <f aca="false">IF(A42="","",DeedMonths+K42*EjectMonths+L42+SellMonths)</f>
        <v/>
      </c>
      <c r="N42" s="25" t="str">
        <f aca="false">IF(A42="","",DeedMonths+K42*EjectMonths+L42+LeaseUpMonths)</f>
        <v/>
      </c>
      <c r="O42" s="26" t="str">
        <f aca="false">IF(A42="","",N(Deals!G42)*IFERROR(INDEX(ScopePSF,MATCH(Deals!O42,ScopeNames,0)),INDEX(ScopePSF,3))*(1+Contingency)+BlindAllowance+N(Deals!P42))</f>
        <v/>
      </c>
      <c r="P42" s="26" t="str">
        <f aca="false">IF(A42="","",IF(N(Deals!K42)&gt;0,Deals!K42,N(Deals!M42))*TaxRate/12+VacantInsMo+SecuringMo+UtilitiesMo+N(Deals!T42))</f>
        <v/>
      </c>
      <c r="Q42" s="26" t="str">
        <f aca="false">IF(A42="","",SheriffFees+PurchaseTitle+CompelDeedLegal+K42*PossessionCost+N(Deals!R42)+N(Deals!T42)*HOAArrearsMonths)</f>
        <v/>
      </c>
      <c r="R42" s="26" t="str">
        <f aca="false">IF(A42="","",N(Deals!M42)*(BrokerPct+SellerRTT+SellClosingPct+ConcessionsPct))</f>
        <v/>
      </c>
      <c r="S42" s="26" t="str">
        <f aca="false">IF(A42="","",Q42+O42+P42*M42)</f>
        <v/>
      </c>
      <c r="T42" s="26" t="str">
        <f aca="false">IF(A42="","",N(Deals!M42)-R42-S42)</f>
        <v/>
      </c>
      <c r="U42" s="26" t="str">
        <f aca="false">IF(A42="","",MIN(T42-FlipTarget,(T42-FlipMinAnnROI*M42/12*S42)/(1+FlipMinAnnROI*M42/12)))</f>
        <v/>
      </c>
      <c r="V42" s="26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26" t="str">
        <f aca="false">IF(A42="","",((V42)*(1+BuyerPremium)+IF(N(Deals!S42)=0,0,MIN(N(Deals!S42),MAX(0,N(Deals!S42)+SheriffCostsFromBid-(V42)*(1-RTTPurchase)))))+S42)</f>
        <v/>
      </c>
      <c r="X42" s="26" t="str">
        <f aca="false">IF(A42="","",T42-((V42)*(1+BuyerPremium)+IF(N(Deals!S42)=0,0,MIN(N(Deals!S42),MAX(0,N(Deals!S42)+SheriffCostsFromBid-(V42)*(1-RTTPurchase))))))</f>
        <v/>
      </c>
      <c r="Y42" s="27" t="str">
        <f aca="false">IF(A42="","",IFERROR(X42/W42/(M42/12),0))</f>
        <v/>
      </c>
      <c r="Z42" s="26" t="str">
        <f aca="false">IF(A42="","",N(Deals!N42)*12*(1-Vacancy)*(1-MgmtPct-MaintPct-CapexPct)-N(Deals!M42)*TaxRate-MAX(1,N(Deals!J42))*(InsPerUnit+WaterPerUnit)-N(Deals!T42)*12)</f>
        <v/>
      </c>
      <c r="AA42" s="26" t="str">
        <f aca="false">IF(A42="","",Q42+O42+P42*N42)</f>
        <v/>
      </c>
      <c r="AB42" s="26" t="str">
        <f aca="false">IF(A42="","",MAX(0,MIN(RefiLTV*N(Deals!M42),Z42/(RefiDSCR*12*PMT(RefiRate/12,RefiTerm*12,-1)))))</f>
        <v/>
      </c>
      <c r="AC42" s="26" t="str">
        <f aca="false">IF(A42="","",Z42-AB42*12*PMT(RefiRate/12,RefiTerm*12,-1))</f>
        <v/>
      </c>
      <c r="AD42" s="26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26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26" t="str">
        <f aca="false">IF(A42="","",IF(HoldMeasure="Cash-on-cash",AE42,AD42))</f>
        <v/>
      </c>
      <c r="AG42" s="26" t="str">
        <f aca="false">IF(A42="","",((AF42)*(1+BuyerPremium)+IF(N(Deals!S42)=0,0,MIN(N(Deals!S42),MAX(0,N(Deals!S42)+SheriffCostsFromBid-(AF42)*(1-RTTPurchase)))))+AA42)</f>
        <v/>
      </c>
      <c r="AH42" s="27" t="str">
        <f aca="false">IF(A42="","",IFERROR(Z42/AG42,0))</f>
        <v/>
      </c>
      <c r="AI42" s="26" t="str">
        <f aca="false">IF(A42="","",AG42-AB42*(1-RefiCostPct))</f>
        <v/>
      </c>
      <c r="AJ42" s="27" t="str">
        <f aca="false">IF(A42="","",IF(AI42&lt;=0,"All cash out",AC42/AI42))</f>
        <v/>
      </c>
      <c r="AK42" s="26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26" t="str">
        <f aca="false">IF(OR(A42="",N(Deals!U42)=0),"",Deals!U42*N(Deals!W42))</f>
        <v/>
      </c>
      <c r="AM42" s="26" t="str">
        <f aca="false">IF(AL42="","",DemoCost+N(Deals!V42)*BuildCostPSF*(1+SoftCostPct)+P42*(DeedMonths+K42*EjectMonths+BuildMonths+SellMonths)+Q42+AL42*(BrokerPct+SellerRTT+SellClosingPct+ConcessionsPct))</f>
        <v/>
      </c>
      <c r="AN42" s="26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7" min="3" style="0" width="11"/>
  </cols>
  <sheetData>
    <row r="1" customFormat="false" ht="15" hidden="false" customHeight="false" outlineLevel="0" collapsed="false">
      <c r="A1" s="18" t="s">
        <v>215</v>
      </c>
    </row>
    <row r="2" customFormat="false" ht="18" hidden="false" customHeight="true" outlineLevel="0" collapsed="false">
      <c r="F2" s="18" t="s">
        <v>216</v>
      </c>
      <c r="J2" s="28" t="n">
        <v>0.2</v>
      </c>
      <c r="N2" s="28" t="n">
        <v>0.3</v>
      </c>
      <c r="R2" s="28" t="n">
        <v>0.4</v>
      </c>
      <c r="V2" s="28" t="n">
        <v>0.5</v>
      </c>
      <c r="Z2" s="28" t="n">
        <v>0.6</v>
      </c>
      <c r="AD2" s="28" t="n">
        <v>0.7</v>
      </c>
      <c r="AH2" s="18" t="s">
        <v>217</v>
      </c>
    </row>
    <row r="3" customFormat="false" ht="45" hidden="false" customHeight="true" outlineLevel="0" collapsed="false">
      <c r="A3" s="5" t="s">
        <v>128</v>
      </c>
      <c r="B3" s="5" t="s">
        <v>129</v>
      </c>
      <c r="C3" s="5" t="s">
        <v>140</v>
      </c>
      <c r="D3" s="5" t="s">
        <v>131</v>
      </c>
      <c r="E3" s="5" t="s">
        <v>218</v>
      </c>
      <c r="F3" s="5" t="s">
        <v>219</v>
      </c>
      <c r="G3" s="5" t="s">
        <v>220</v>
      </c>
      <c r="H3" s="5" t="s">
        <v>221</v>
      </c>
      <c r="I3" s="5" t="s">
        <v>222</v>
      </c>
      <c r="J3" s="5" t="s">
        <v>219</v>
      </c>
      <c r="K3" s="5" t="s">
        <v>220</v>
      </c>
      <c r="L3" s="5" t="s">
        <v>221</v>
      </c>
      <c r="M3" s="5" t="s">
        <v>222</v>
      </c>
      <c r="N3" s="5" t="s">
        <v>219</v>
      </c>
      <c r="O3" s="5" t="s">
        <v>220</v>
      </c>
      <c r="P3" s="5" t="s">
        <v>221</v>
      </c>
      <c r="Q3" s="5" t="s">
        <v>222</v>
      </c>
      <c r="R3" s="5" t="s">
        <v>219</v>
      </c>
      <c r="S3" s="5" t="s">
        <v>220</v>
      </c>
      <c r="T3" s="5" t="s">
        <v>221</v>
      </c>
      <c r="U3" s="5" t="s">
        <v>222</v>
      </c>
      <c r="V3" s="5" t="s">
        <v>219</v>
      </c>
      <c r="W3" s="5" t="s">
        <v>220</v>
      </c>
      <c r="X3" s="5" t="s">
        <v>221</v>
      </c>
      <c r="Y3" s="5" t="s">
        <v>222</v>
      </c>
      <c r="Z3" s="5" t="s">
        <v>219</v>
      </c>
      <c r="AA3" s="5" t="s">
        <v>220</v>
      </c>
      <c r="AB3" s="5" t="s">
        <v>221</v>
      </c>
      <c r="AC3" s="5" t="s">
        <v>222</v>
      </c>
      <c r="AD3" s="5" t="s">
        <v>219</v>
      </c>
      <c r="AE3" s="5" t="s">
        <v>220</v>
      </c>
      <c r="AF3" s="5" t="s">
        <v>221</v>
      </c>
      <c r="AG3" s="5" t="s">
        <v>222</v>
      </c>
      <c r="AH3" s="5" t="s">
        <v>219</v>
      </c>
      <c r="AI3" s="5" t="s">
        <v>220</v>
      </c>
      <c r="AJ3" s="5" t="s">
        <v>221</v>
      </c>
      <c r="AK3" s="5" t="s">
        <v>222</v>
      </c>
    </row>
    <row r="4" customFormat="false" ht="15" hidden="false" customHeight="false" outlineLevel="0" collapsed="false">
      <c r="A4" s="0" t="str">
        <f aca="false">Underwriting!$A3</f>
        <v>1311511-0</v>
      </c>
      <c r="B4" s="0" t="str">
        <f aca="false">Underwriting!$B3</f>
        <v>0 Prior screen (ARV 695k, Medium, occupied)</v>
      </c>
      <c r="C4" s="26" t="n">
        <f aca="false">IF(Underwriting!$A3="","",N(Deals!M3))</f>
        <v>695000</v>
      </c>
      <c r="D4" s="26" t="n">
        <f aca="false">IF(Underwriting!$A3="","",N(Deals!D3))</f>
        <v>27200</v>
      </c>
      <c r="E4" s="26" t="n">
        <f aca="false">IF(Underwriting!$A3="","",Underwriting!$D3)</f>
        <v>327876.171119135</v>
      </c>
      <c r="F4" s="26" t="n">
        <f aca="false">IF(Underwriting!$A3="","",$D4)</f>
        <v>27200</v>
      </c>
      <c r="G4" s="26" t="n">
        <f aca="false">IF(Underwriting!$A3="","",Underwriting!$T3-((F4)*(1+BuyerPremium)+IF(N(Deals!S3)=0,0,MIN(N(Deals!S3),MAX(0,N(Deals!S3)+SheriffCostsFromBid-(F4)*(1-RTTPurchase))))))</f>
        <v>445964.50155</v>
      </c>
      <c r="H4" s="27" t="n">
        <f aca="false">IF(Underwriting!$A3="","",IFERROR(G4/(((F4)*(1+BuyerPremium)+IF(N(Deals!S3)=0,0,MIN(N(Deals!S3),MAX(0,N(Deals!S3)+SheriffCostsFromBid-(F4)*(1-RTTPurchase)))))+Underwriting!$S3)/(Underwriting!$M3/12),0))</f>
        <v>1.26128024774078</v>
      </c>
      <c r="I4" s="27" t="n">
        <f aca="false">IF(Underwriting!$A3="","",IFERROR(Underwriting!$Z3/(((F4)*(1+BuyerPremium)+IF(N(Deals!S3)=0,0,MIN(N(Deals!S3),MAX(0,N(Deals!S3)+SheriffCostsFromBid-(F4)*(1-RTTPurchase)))))+Underwriting!$AA3),0))</f>
        <v>0.0703985225400298</v>
      </c>
      <c r="J4" s="26" t="n">
        <f aca="false">IF(Underwriting!$A3="","",ROUND(J$2*$C4,-3))</f>
        <v>139000</v>
      </c>
      <c r="K4" s="26" t="n">
        <f aca="false">IF(Underwriting!$A3="","",Underwriting!$T3-((J4)*(1+BuyerPremium)+IF(N(Deals!S3)=0,0,MIN(N(Deals!S3),MAX(0,N(Deals!S3)+SheriffCostsFromBid-(J4)*(1-RTTPurchase))))))</f>
        <v>332487.50155</v>
      </c>
      <c r="L4" s="27" t="n">
        <f aca="false">IF(Underwriting!$A3="","",IFERROR(K4/(((J4)*(1+BuyerPremium)+IF(N(Deals!S3)=0,0,MIN(N(Deals!S3),MAX(0,N(Deals!S3)+SheriffCostsFromBid-(J4)*(1-RTTPurchase)))))+Underwriting!$S3)/(Underwriting!$M3/12),0))</f>
        <v>0.582209904723719</v>
      </c>
      <c r="M4" s="27" t="n">
        <f aca="false">IF(Underwriting!$A3="","",IFERROR(Underwriting!$Z3/(((J4)*(1+BuyerPremium)+IF(N(Deals!S3)=0,0,MIN(N(Deals!S3),MAX(0,N(Deals!S3)+SheriffCostsFromBid-(J4)*(1-RTTPurchase)))))+Underwriting!$AA3),0))</f>
        <v>0.0435055195821677</v>
      </c>
      <c r="N4" s="26" t="n">
        <f aca="false">IF(Underwriting!$A3="","",ROUND(N$2*$C4,-3))</f>
        <v>209000</v>
      </c>
      <c r="O4" s="26" t="n">
        <f aca="false">IF(Underwriting!$A3="","",Underwriting!$T3-((N4)*(1+BuyerPremium)+IF(N(Deals!S3)=0,0,MIN(N(Deals!S3),MAX(0,N(Deals!S3)+SheriffCostsFromBid-(N4)*(1-RTTPurchase))))))</f>
        <v>261437.50155</v>
      </c>
      <c r="P4" s="27" t="n">
        <f aca="false">IF(Underwriting!$A3="","",IFERROR(O4/(((N4)*(1+BuyerPremium)+IF(N(Deals!S3)=0,0,MIN(N(Deals!S3),MAX(0,N(Deals!S3)+SheriffCostsFromBid-(N4)*(1-RTTPurchase)))))+Underwriting!$S3)/(Underwriting!$M3/12),0))</f>
        <v>0.369649634630459</v>
      </c>
      <c r="Q4" s="27" t="n">
        <f aca="false">IF(Underwriting!$A3="","",IFERROR(Underwriting!$Z3/(((N4)*(1+BuyerPremium)+IF(N(Deals!S3)=0,0,MIN(N(Deals!S3),MAX(0,N(Deals!S3)+SheriffCostsFromBid-(N4)*(1-RTTPurchase)))))+Underwriting!$AA3),0))</f>
        <v>0.0351082019748805</v>
      </c>
      <c r="R4" s="26" t="n">
        <f aca="false">IF(Underwriting!$A3="","",ROUND(R$2*$C4,-3))</f>
        <v>278000</v>
      </c>
      <c r="S4" s="26" t="n">
        <f aca="false">IF(Underwriting!$A3="","",Underwriting!$T3-((R4)*(1+BuyerPremium)+IF(N(Deals!S3)=0,0,MIN(N(Deals!S3),MAX(0,N(Deals!S3)+SheriffCostsFromBid-(R4)*(1-RTTPurchase))))))</f>
        <v>191402.50155</v>
      </c>
      <c r="T4" s="27" t="n">
        <f aca="false">IF(Underwriting!$A3="","",IFERROR(S4/(((R4)*(1+BuyerPremium)+IF(N(Deals!S3)=0,0,MIN(N(Deals!S3),MAX(0,N(Deals!S3)+SheriffCostsFromBid-(R4)*(1-RTTPurchase)))))+Underwriting!$S3)/(Underwriting!$M3/12),0))</f>
        <v>0.22745629988933</v>
      </c>
      <c r="U4" s="27" t="n">
        <f aca="false">IF(Underwriting!$A3="","",IFERROR(Underwriting!$Z3/(((R4)*(1+BuyerPremium)+IF(N(Deals!S3)=0,0,MIN(N(Deals!S3),MAX(0,N(Deals!S3)+SheriffCostsFromBid-(R4)*(1-RTTPurchase)))))+Underwriting!$AA3),0))</f>
        <v>0.0294962485858293</v>
      </c>
      <c r="V4" s="26" t="n">
        <f aca="false">IF(Underwriting!$A3="","",ROUND(V$2*$C4,-3))</f>
        <v>348000</v>
      </c>
      <c r="W4" s="26" t="n">
        <f aca="false">IF(Underwriting!$A3="","",Underwriting!$T3-((V4)*(1+BuyerPremium)+IF(N(Deals!S3)=0,0,MIN(N(Deals!S3),MAX(0,N(Deals!S3)+SheriffCostsFromBid-(V4)*(1-RTTPurchase))))))</f>
        <v>120352.50155</v>
      </c>
      <c r="X4" s="27" t="n">
        <f aca="false">IF(Underwriting!$A3="","",IFERROR(W4/(((V4)*(1+BuyerPremium)+IF(N(Deals!S3)=0,0,MIN(N(Deals!S3),MAX(0,N(Deals!S3)+SheriffCostsFromBid-(V4)*(1-RTTPurchase)))))+Underwriting!$S3)/(Underwriting!$M3/12),0))</f>
        <v>0.123101293794259</v>
      </c>
      <c r="Y4" s="27" t="n">
        <f aca="false">IF(Underwriting!$A3="","",IFERROR(Underwriting!$Z3/(((V4)*(1+BuyerPremium)+IF(N(Deals!S3)=0,0,MIN(N(Deals!S3),MAX(0,N(Deals!S3)+SheriffCostsFromBid-(V4)*(1-RTTPurchase)))))+Underwriting!$AA3),0))</f>
        <v>0.0253804530928065</v>
      </c>
      <c r="Z4" s="26" t="n">
        <f aca="false">IF(Underwriting!$A3="","",ROUND(Z$2*$C4,-3))</f>
        <v>417000</v>
      </c>
      <c r="AA4" s="26" t="n">
        <f aca="false">IF(Underwriting!$A3="","",Underwriting!$T3-((Z4)*(1+BuyerPremium)+IF(N(Deals!S3)=0,0,MIN(N(Deals!S3),MAX(0,N(Deals!S3)+SheriffCostsFromBid-(Z4)*(1-RTTPurchase))))))</f>
        <v>50317.50155</v>
      </c>
      <c r="AB4" s="27" t="n">
        <f aca="false">IF(Underwriting!$A3="","",IFERROR(AA4/(((Z4)*(1+BuyerPremium)+IF(N(Deals!S3)=0,0,MIN(N(Deals!S3),MAX(0,N(Deals!S3)+SheriffCostsFromBid-(Z4)*(1-RTTPurchase)))))+Underwriting!$S3)/(Underwriting!$M3/12),0))</f>
        <v>0.0452534489818782</v>
      </c>
      <c r="AC4" s="27" t="n">
        <f aca="false">IF(Underwriting!$A3="","",IFERROR(Underwriting!$Z3/(((Z4)*(1+BuyerPremium)+IF(N(Deals!S3)=0,0,MIN(N(Deals!S3),MAX(0,N(Deals!S3)+SheriffCostsFromBid-(Z4)*(1-RTTPurchase)))))+Underwriting!$AA3),0))</f>
        <v>0.0223116455357633</v>
      </c>
      <c r="AD4" s="26" t="n">
        <f aca="false">IF(Underwriting!$A3="","",ROUND(AD$2*$C4,-3))</f>
        <v>487000</v>
      </c>
      <c r="AE4" s="26" t="n">
        <f aca="false">IF(Underwriting!$A3="","",Underwriting!$T3-((AD4)*(1+BuyerPremium)+IF(N(Deals!S3)=0,0,MIN(N(Deals!S3),MAX(0,N(Deals!S3)+SheriffCostsFromBid-(AD4)*(1-RTTPurchase))))))</f>
        <v>-20732.49845</v>
      </c>
      <c r="AF4" s="27" t="n">
        <f aca="false">IF(Underwriting!$A3="","",IFERROR(AE4/(((AD4)*(1+BuyerPremium)+IF(N(Deals!S3)=0,0,MIN(N(Deals!S3),MAX(0,N(Deals!S3)+SheriffCostsFromBid-(AD4)*(1-RTTPurchase)))))+Underwriting!$S3)/(Underwriting!$M3/12),0))</f>
        <v>-0.0166114687769547</v>
      </c>
      <c r="AG4" s="27" t="n">
        <f aca="false">IF(Underwriting!$A3="","",IFERROR(Underwriting!$Z3/(((AD4)*(1+BuyerPremium)+IF(N(Deals!S3)=0,0,MIN(N(Deals!S3),MAX(0,N(Deals!S3)+SheriffCostsFromBid-(AD4)*(1-RTTPurchase)))))+Underwriting!$AA3),0))</f>
        <v>0.0198738301823706</v>
      </c>
      <c r="AH4" s="26" t="n">
        <f aca="false">IF(Underwriting!$A3="","",$E4)</f>
        <v>327876.171119135</v>
      </c>
      <c r="AI4" s="26" t="n">
        <f aca="false">IF(Underwriting!$A3="","",Underwriting!$T3-((AH4)*(1+BuyerPremium)+IF(N(Deals!S3)=0,0,MIN(N(Deals!S3),MAX(0,N(Deals!S3)+SheriffCostsFromBid-(AH4)*(1-RTTPurchase))))))</f>
        <v>140778.187864078</v>
      </c>
      <c r="AJ4" s="27" t="n">
        <f aca="false">IF(Underwriting!$A3="","",IFERROR(AI4/(((AH4)*(1+BuyerPremium)+IF(N(Deals!S3)=0,0,MIN(N(Deals!S3),MAX(0,N(Deals!S3)+SheriffCostsFromBid-(AH4)*(1-RTTPurchase)))))+Underwriting!$S3)/(Underwriting!$M3/12),0))</f>
        <v>0.15</v>
      </c>
      <c r="AK4" s="27" t="n">
        <f aca="false">IF(Underwriting!$A3="","",IFERROR(Underwriting!$Z3/(((AH4)*(1+BuyerPremium)+IF(N(Deals!S3)=0,0,MIN(N(Deals!S3),MAX(0,N(Deals!S3)+SheriffCostsFromBid-(AH4)*(1-RTTPurchase)))))+Underwriting!$AA3),0))</f>
        <v>0.0264411210338786</v>
      </c>
    </row>
    <row r="5" customFormat="false" ht="15" hidden="false" customHeight="false" outlineLevel="0" collapsed="false">
      <c r="A5" s="0" t="str">
        <f aca="false">Underwriting!$A4</f>
        <v>1311511-1</v>
      </c>
      <c r="B5" s="0" t="str">
        <f aca="false">Underwriting!$B4</f>
        <v>1 Base: ARV 675k, Heavy (stalled 2019 demo), vacant</v>
      </c>
      <c r="C5" s="26" t="n">
        <f aca="false">IF(Underwriting!$A4="","",N(Deals!M4))</f>
        <v>675000</v>
      </c>
      <c r="D5" s="26" t="n">
        <f aca="false">IF(Underwriting!$A4="","",N(Deals!D4))</f>
        <v>27200</v>
      </c>
      <c r="E5" s="26" t="n">
        <f aca="false">IF(Underwriting!$A4="","",Underwriting!$D4)</f>
        <v>274353.790147783</v>
      </c>
      <c r="F5" s="26" t="n">
        <f aca="false">IF(Underwriting!$A4="","",$D5)</f>
        <v>27200</v>
      </c>
      <c r="G5" s="26" t="n">
        <f aca="false">IF(Underwriting!$A4="","",Underwriting!$T4-((F5)*(1+BuyerPremium)+IF(N(Deals!S4)=0,0,MIN(N(Deals!S4),MAX(0,N(Deals!S4)+SheriffCostsFromBid-(F5)*(1-RTTPurchase))))))</f>
        <v>373320.947</v>
      </c>
      <c r="H5" s="27" t="n">
        <f aca="false">IF(Underwriting!$A4="","",IFERROR(G5/(((F5)*(1+BuyerPremium)+IF(N(Deals!S4)=0,0,MIN(N(Deals!S4),MAX(0,N(Deals!S4)+SheriffCostsFromBid-(F5)*(1-RTTPurchase)))))+Underwriting!$S4)/(Underwriting!$M4/12),0))</f>
        <v>0.937292488013023</v>
      </c>
      <c r="I5" s="27" t="n">
        <f aca="false">IF(Underwriting!$A4="","",IFERROR(Underwriting!$Z4/(((F5)*(1+BuyerPremium)+IF(N(Deals!S4)=0,0,MIN(N(Deals!S4),MAX(0,N(Deals!S4)+SheriffCostsFromBid-(F5)*(1-RTTPurchase)))))+Underwriting!$AA4),0))</f>
        <v>0.0723338078826718</v>
      </c>
      <c r="J5" s="26" t="n">
        <f aca="false">IF(Underwriting!$A4="","",ROUND(J$2*$C5,-3))</f>
        <v>135000</v>
      </c>
      <c r="K5" s="26" t="n">
        <f aca="false">IF(Underwriting!$A4="","",Underwriting!$T4-((J5)*(1+BuyerPremium)+IF(N(Deals!S4)=0,0,MIN(N(Deals!S4),MAX(0,N(Deals!S4)+SheriffCostsFromBid-(J5)*(1-RTTPurchase))))))</f>
        <v>263903.947</v>
      </c>
      <c r="L5" s="27" t="n">
        <f aca="false">IF(Underwriting!$A4="","",IFERROR(K5/(((J5)*(1+BuyerPremium)+IF(N(Deals!S4)=0,0,MIN(N(Deals!S4),MAX(0,N(Deals!S4)+SheriffCostsFromBid-(J5)*(1-RTTPurchase)))))+Underwriting!$S4)/(Underwriting!$M4/12),0))</f>
        <v>0.454490536573049</v>
      </c>
      <c r="M5" s="27" t="n">
        <f aca="false">IF(Underwriting!$A4="","",IFERROR(Underwriting!$Z4/(((J5)*(1+BuyerPremium)+IF(N(Deals!S4)=0,0,MIN(N(Deals!S4),MAX(0,N(Deals!S4)+SheriffCostsFromBid-(J5)*(1-RTTPurchase)))))+Underwriting!$AA4),0))</f>
        <v>0.0495576764031452</v>
      </c>
      <c r="N5" s="26" t="n">
        <f aca="false">IF(Underwriting!$A4="","",ROUND(N$2*$C5,-3))</f>
        <v>203000</v>
      </c>
      <c r="O5" s="26" t="n">
        <f aca="false">IF(Underwriting!$A4="","",Underwriting!$T4-((N5)*(1+BuyerPremium)+IF(N(Deals!S4)=0,0,MIN(N(Deals!S4),MAX(0,N(Deals!S4)+SheriffCostsFromBid-(N5)*(1-RTTPurchase))))))</f>
        <v>194883.947</v>
      </c>
      <c r="P5" s="27" t="n">
        <f aca="false">IF(Underwriting!$A4="","",IFERROR(O5/(((N5)*(1+BuyerPremium)+IF(N(Deals!S4)=0,0,MIN(N(Deals!S4),MAX(0,N(Deals!S4)+SheriffCostsFromBid-(N5)*(1-RTTPurchase)))))+Underwriting!$S4)/(Underwriting!$M4/12),0))</f>
        <v>0.280129567266967</v>
      </c>
      <c r="Q5" s="27" t="n">
        <f aca="false">IF(Underwriting!$A4="","",IFERROR(Underwriting!$Z4/(((N5)*(1+BuyerPremium)+IF(N(Deals!S4)=0,0,MIN(N(Deals!S4),MAX(0,N(Deals!S4)+SheriffCostsFromBid-(N5)*(1-RTTPurchase)))))+Underwriting!$AA4),0))</f>
        <v>0.0413455195103061</v>
      </c>
      <c r="R5" s="26" t="n">
        <f aca="false">IF(Underwriting!$A4="","",ROUND(R$2*$C5,-3))</f>
        <v>270000</v>
      </c>
      <c r="S5" s="26" t="n">
        <f aca="false">IF(Underwriting!$A4="","",Underwriting!$T4-((R5)*(1+BuyerPremium)+IF(N(Deals!S4)=0,0,MIN(N(Deals!S4),MAX(0,N(Deals!S4)+SheriffCostsFromBid-(R5)*(1-RTTPurchase))))))</f>
        <v>126878.947</v>
      </c>
      <c r="T5" s="27" t="n">
        <f aca="false">IF(Underwriting!$A4="","",IFERROR(S5/(((R5)*(1+BuyerPremium)+IF(N(Deals!S4)=0,0,MIN(N(Deals!S4),MAX(0,N(Deals!S4)+SheriffCostsFromBid-(R5)*(1-RTTPurchase)))))+Underwriting!$S4)/(Underwriting!$M4/12),0))</f>
        <v>0.156827738208552</v>
      </c>
      <c r="U5" s="27" t="n">
        <f aca="false">IF(Underwriting!$A4="","",IFERROR(Underwriting!$Z4/(((R5)*(1+BuyerPremium)+IF(N(Deals!S4)=0,0,MIN(N(Deals!S4),MAX(0,N(Deals!S4)+SheriffCostsFromBid-(R5)*(1-RTTPurchase)))))+Underwriting!$AA4),0))</f>
        <v>0.0355424295435826</v>
      </c>
      <c r="V5" s="26" t="n">
        <f aca="false">IF(Underwriting!$A4="","",ROUND(V$2*$C5,-3))</f>
        <v>338000</v>
      </c>
      <c r="W5" s="26" t="n">
        <f aca="false">IF(Underwriting!$A4="","",Underwriting!$T4-((V5)*(1+BuyerPremium)+IF(N(Deals!S4)=0,0,MIN(N(Deals!S4),MAX(0,N(Deals!S4)+SheriffCostsFromBid-(V5)*(1-RTTPurchase))))))</f>
        <v>57858.947</v>
      </c>
      <c r="X5" s="27" t="n">
        <f aca="false">IF(Underwriting!$A4="","",IFERROR(W5/(((V5)*(1+BuyerPremium)+IF(N(Deals!S4)=0,0,MIN(N(Deals!S4),MAX(0,N(Deals!S4)+SheriffCostsFromBid-(V5)*(1-RTTPurchase)))))+Underwriting!$S4)/(Underwriting!$M4/12),0))</f>
        <v>0.0626133562299854</v>
      </c>
      <c r="Y5" s="27" t="n">
        <f aca="false">IF(Underwriting!$A4="","",IFERROR(Underwriting!$Z4/(((V5)*(1+BuyerPremium)+IF(N(Deals!S4)=0,0,MIN(N(Deals!S4),MAX(0,N(Deals!S4)+SheriffCostsFromBid-(V5)*(1-RTTPurchase)))))+Underwriting!$AA4),0))</f>
        <v>0.0311106866501057</v>
      </c>
      <c r="Z5" s="26" t="n">
        <f aca="false">IF(Underwriting!$A4="","",ROUND(Z$2*$C5,-3))</f>
        <v>405000</v>
      </c>
      <c r="AA5" s="26" t="n">
        <f aca="false">IF(Underwriting!$A4="","",Underwriting!$T4-((Z5)*(1+BuyerPremium)+IF(N(Deals!S4)=0,0,MIN(N(Deals!S4),MAX(0,N(Deals!S4)+SheriffCostsFromBid-(Z5)*(1-RTTPurchase))))))</f>
        <v>-10146.053</v>
      </c>
      <c r="AB5" s="27" t="n">
        <f aca="false">IF(Underwriting!$A4="","",IFERROR(AA5/(((Z5)*(1+BuyerPremium)+IF(N(Deals!S4)=0,0,MIN(N(Deals!S4),MAX(0,N(Deals!S4)+SheriffCostsFromBid-(Z5)*(1-RTTPurchase)))))+Underwriting!$S4)/(Underwriting!$M4/12),0))</f>
        <v>-0.00978018754525002</v>
      </c>
      <c r="AC5" s="27" t="n">
        <f aca="false">IF(Underwriting!$A4="","",IFERROR(Underwriting!$Z4/(((Z5)*(1+BuyerPremium)+IF(N(Deals!S4)=0,0,MIN(N(Deals!S4),MAX(0,N(Deals!S4)+SheriffCostsFromBid-(Z5)*(1-RTTPurchase)))))+Underwriting!$AA4),0))</f>
        <v>0.0277067677794786</v>
      </c>
      <c r="AD5" s="26" t="n">
        <f aca="false">IF(Underwriting!$A4="","",ROUND(AD$2*$C5,-3))</f>
        <v>473000</v>
      </c>
      <c r="AE5" s="26" t="n">
        <f aca="false">IF(Underwriting!$A4="","",Underwriting!$T4-((AD5)*(1+BuyerPremium)+IF(N(Deals!S4)=0,0,MIN(N(Deals!S4),MAX(0,N(Deals!S4)+SheriffCostsFromBid-(AD5)*(1-RTTPurchase))))))</f>
        <v>-79166.053</v>
      </c>
      <c r="AF5" s="27" t="n">
        <f aca="false">IF(Underwriting!$A4="","",IFERROR(AE5/(((AD5)*(1+BuyerPremium)+IF(N(Deals!S4)=0,0,MIN(N(Deals!S4),MAX(0,N(Deals!S4)+SheriffCostsFromBid-(AD5)*(1-RTTPurchase)))))+Underwriting!$S4)/(Underwriting!$M4/12),0))</f>
        <v>-0.0686941652660191</v>
      </c>
      <c r="AG5" s="27" t="n">
        <f aca="false">IF(Underwriting!$A4="","",IFERROR(Underwriting!$Z4/(((AD5)*(1+BuyerPremium)+IF(N(Deals!S4)=0,0,MIN(N(Deals!S4),MAX(0,N(Deals!S4)+SheriffCostsFromBid-(AD5)*(1-RTTPurchase)))))+Underwriting!$AA4),0))</f>
        <v>0.0249375477823695</v>
      </c>
      <c r="AH5" s="26" t="n">
        <f aca="false">IF(Underwriting!$A4="","",$E5)</f>
        <v>274353.790147783</v>
      </c>
      <c r="AI5" s="26" t="n">
        <f aca="false">IF(Underwriting!$A4="","",Underwriting!$T4-((AH5)*(1+BuyerPremium)+IF(N(Deals!S4)=0,0,MIN(N(Deals!S4),MAX(0,N(Deals!S4)+SheriffCostsFromBid-(AH5)*(1-RTTPurchase))))))</f>
        <v>122459.85</v>
      </c>
      <c r="AJ5" s="27" t="n">
        <f aca="false">IF(Underwriting!$A4="","",IFERROR(AI5/(((AH5)*(1+BuyerPremium)+IF(N(Deals!S4)=0,0,MIN(N(Deals!S4),MAX(0,N(Deals!S4)+SheriffCostsFromBid-(AH5)*(1-RTTPurchase)))))+Underwriting!$S4)/(Underwriting!$M4/12),0))</f>
        <v>0.15</v>
      </c>
      <c r="AK5" s="27" t="n">
        <f aca="false">IF(Underwriting!$A4="","",IFERROR(Underwriting!$Z4/(((AH5)*(1+BuyerPremium)+IF(N(Deals!S4)=0,0,MIN(N(Deals!S4),MAX(0,N(Deals!S4)+SheriffCostsFromBid-(AH5)*(1-RTTPurchase)))))+Underwriting!$AA4),0))</f>
        <v>0.0352211910519409</v>
      </c>
    </row>
    <row r="6" customFormat="false" ht="15" hidden="false" customHeight="false" outlineLevel="0" collapsed="false">
      <c r="A6" s="0" t="str">
        <f aca="false">Underwriting!$A5</f>
        <v>1311511-2</v>
      </c>
      <c r="B6" s="0" t="str">
        <f aca="false">Underwriting!$B5</f>
        <v>2 Base but occupied (squatter/holdover)</v>
      </c>
      <c r="C6" s="26" t="n">
        <f aca="false">IF(Underwriting!$A5="","",N(Deals!M5))</f>
        <v>675000</v>
      </c>
      <c r="D6" s="26" t="n">
        <f aca="false">IF(Underwriting!$A5="","",N(Deals!D5))</f>
        <v>27200</v>
      </c>
      <c r="E6" s="26" t="n">
        <f aca="false">IF(Underwriting!$A5="","",Underwriting!$D5)</f>
        <v>242002.301020408</v>
      </c>
      <c r="F6" s="26" t="n">
        <f aca="false">IF(Underwriting!$A5="","",$D6)</f>
        <v>27200</v>
      </c>
      <c r="G6" s="26" t="n">
        <f aca="false">IF(Underwriting!$A5="","",Underwriting!$T5-((F6)*(1+BuyerPremium)+IF(N(Deals!S5)=0,0,MIN(N(Deals!S5),MAX(0,N(Deals!S5)+SheriffCostsFromBid-(F6)*(1-RTTPurchase))))))</f>
        <v>363809.87125</v>
      </c>
      <c r="H6" s="27" t="n">
        <f aca="false">IF(Underwriting!$A5="","",IFERROR(G6/(((F6)*(1+BuyerPremium)+IF(N(Deals!S5)=0,0,MIN(N(Deals!S5),MAX(0,N(Deals!S5)+SheriffCostsFromBid-(F6)*(1-RTTPurchase)))))+Underwriting!$S5)/(Underwriting!$M5/12),0))</f>
        <v>0.702761377884446</v>
      </c>
      <c r="I6" s="27" t="n">
        <f aca="false">IF(Underwriting!$A5="","",IFERROR(Underwriting!$Z5/(((F6)*(1+BuyerPremium)+IF(N(Deals!S5)=0,0,MIN(N(Deals!S5),MAX(0,N(Deals!S5)+SheriffCostsFromBid-(F6)*(1-RTTPurchase)))))+Underwriting!$AA5),0))</f>
        <v>0.0695551003113475</v>
      </c>
      <c r="J6" s="26" t="n">
        <f aca="false">IF(Underwriting!$A5="","",ROUND(J$2*$C6,-3))</f>
        <v>135000</v>
      </c>
      <c r="K6" s="26" t="n">
        <f aca="false">IF(Underwriting!$A5="","",Underwriting!$T5-((J6)*(1+BuyerPremium)+IF(N(Deals!S5)=0,0,MIN(N(Deals!S5),MAX(0,N(Deals!S5)+SheriffCostsFromBid-(J6)*(1-RTTPurchase))))))</f>
        <v>254392.87125</v>
      </c>
      <c r="L6" s="27" t="n">
        <f aca="false">IF(Underwriting!$A5="","",IFERROR(K6/(((J6)*(1+BuyerPremium)+IF(N(Deals!S5)=0,0,MIN(N(Deals!S5),MAX(0,N(Deals!S5)+SheriffCostsFromBid-(J6)*(1-RTTPurchase)))))+Underwriting!$S5)/(Underwriting!$M5/12),0))</f>
        <v>0.341174635183838</v>
      </c>
      <c r="M6" s="27" t="n">
        <f aca="false">IF(Underwriting!$A5="","",IFERROR(Underwriting!$Z5/(((J6)*(1+BuyerPremium)+IF(N(Deals!S5)=0,0,MIN(N(Deals!S5),MAX(0,N(Deals!S5)+SheriffCostsFromBid-(J6)*(1-RTTPurchase)))))+Underwriting!$AA5),0))</f>
        <v>0.0482373926016587</v>
      </c>
      <c r="N6" s="26" t="n">
        <f aca="false">IF(Underwriting!$A5="","",ROUND(N$2*$C6,-3))</f>
        <v>203000</v>
      </c>
      <c r="O6" s="26" t="n">
        <f aca="false">IF(Underwriting!$A5="","",Underwriting!$T5-((N6)*(1+BuyerPremium)+IF(N(Deals!S5)=0,0,MIN(N(Deals!S5),MAX(0,N(Deals!S5)+SheriffCostsFromBid-(N6)*(1-RTTPurchase))))))</f>
        <v>185372.87125</v>
      </c>
      <c r="P6" s="27" t="n">
        <f aca="false">IF(Underwriting!$A5="","",IFERROR(O6/(((N6)*(1+BuyerPremium)+IF(N(Deals!S5)=0,0,MIN(N(Deals!S5),MAX(0,N(Deals!S5)+SheriffCostsFromBid-(N6)*(1-RTTPurchase)))))+Underwriting!$S5)/(Underwriting!$M5/12),0))</f>
        <v>0.208417616312494</v>
      </c>
      <c r="Q6" s="27" t="n">
        <f aca="false">IF(Underwriting!$A5="","",IFERROR(Underwriting!$Z5/(((N6)*(1+BuyerPremium)+IF(N(Deals!S5)=0,0,MIN(N(Deals!S5),MAX(0,N(Deals!S5)+SheriffCostsFromBid-(N6)*(1-RTTPurchase)))))+Underwriting!$AA5),0))</f>
        <v>0.0404224724120789</v>
      </c>
      <c r="R6" s="26" t="n">
        <f aca="false">IF(Underwriting!$A5="","",ROUND(R$2*$C6,-3))</f>
        <v>270000</v>
      </c>
      <c r="S6" s="26" t="n">
        <f aca="false">IF(Underwriting!$A5="","",Underwriting!$T5-((R6)*(1+BuyerPremium)+IF(N(Deals!S5)=0,0,MIN(N(Deals!S5),MAX(0,N(Deals!S5)+SheriffCostsFromBid-(R6)*(1-RTTPurchase))))))</f>
        <v>117367.87125</v>
      </c>
      <c r="T6" s="27" t="n">
        <f aca="false">IF(Underwriting!$A5="","",IFERROR(S6/(((R6)*(1+BuyerPremium)+IF(N(Deals!S5)=0,0,MIN(N(Deals!S5),MAX(0,N(Deals!S5)+SheriffCostsFromBid-(R6)*(1-RTTPurchase)))))+Underwriting!$S5)/(Underwriting!$M5/12),0))</f>
        <v>0.113827048796712</v>
      </c>
      <c r="U6" s="27" t="n">
        <f aca="false">IF(Underwriting!$A5="","",IFERROR(Underwriting!$Z5/(((R6)*(1+BuyerPremium)+IF(N(Deals!S5)=0,0,MIN(N(Deals!S5),MAX(0,N(Deals!S5)+SheriffCostsFromBid-(R6)*(1-RTTPurchase)))))+Underwriting!$AA5),0))</f>
        <v>0.0348581647984314</v>
      </c>
      <c r="V6" s="26" t="n">
        <f aca="false">IF(Underwriting!$A5="","",ROUND(V$2*$C6,-3))</f>
        <v>338000</v>
      </c>
      <c r="W6" s="26" t="n">
        <f aca="false">IF(Underwriting!$A5="","",Underwriting!$T5-((V6)*(1+BuyerPremium)+IF(N(Deals!S5)=0,0,MIN(N(Deals!S5),MAX(0,N(Deals!S5)+SheriffCostsFromBid-(V6)*(1-RTTPurchase))))))</f>
        <v>48347.87125</v>
      </c>
      <c r="X6" s="27" t="n">
        <f aca="false">IF(Underwriting!$A5="","",IFERROR(W6/(((V6)*(1+BuyerPremium)+IF(N(Deals!S5)=0,0,MIN(N(Deals!S5),MAX(0,N(Deals!S5)+SheriffCostsFromBid-(V6)*(1-RTTPurchase)))))+Underwriting!$S5)/(Underwriting!$M5/12),0))</f>
        <v>0.0411506719806916</v>
      </c>
      <c r="Y6" s="27" t="n">
        <f aca="false">IF(Underwriting!$A5="","",IFERROR(Underwriting!$Z5/(((V6)*(1+BuyerPremium)+IF(N(Deals!S5)=0,0,MIN(N(Deals!S5),MAX(0,N(Deals!S5)+SheriffCostsFromBid-(V6)*(1-RTTPurchase)))))+Underwriting!$AA5),0))</f>
        <v>0.0305851622083823</v>
      </c>
      <c r="Z6" s="26" t="n">
        <f aca="false">IF(Underwriting!$A5="","",ROUND(Z$2*$C6,-3))</f>
        <v>405000</v>
      </c>
      <c r="AA6" s="26" t="n">
        <f aca="false">IF(Underwriting!$A5="","",Underwriting!$T5-((Z6)*(1+BuyerPremium)+IF(N(Deals!S5)=0,0,MIN(N(Deals!S5),MAX(0,N(Deals!S5)+SheriffCostsFromBid-(Z6)*(1-RTTPurchase))))))</f>
        <v>-19657.12875</v>
      </c>
      <c r="AB6" s="27" t="n">
        <f aca="false">IF(Underwriting!$A5="","",IFERROR(AA6/(((Z6)*(1+BuyerPremium)+IF(N(Deals!S5)=0,0,MIN(N(Deals!S5),MAX(0,N(Deals!S5)+SheriffCostsFromBid-(Z6)*(1-RTTPurchase)))))+Underwriting!$S5)/(Underwriting!$M5/12),0))</f>
        <v>-0.0149304953906203</v>
      </c>
      <c r="AC6" s="27" t="n">
        <f aca="false">IF(Underwriting!$A5="","",IFERROR(Underwriting!$Z5/(((Z6)*(1+BuyerPremium)+IF(N(Deals!S5)=0,0,MIN(N(Deals!S5),MAX(0,N(Deals!S5)+SheriffCostsFromBid-(Z6)*(1-RTTPurchase)))))+Underwriting!$AA5),0))</f>
        <v>0.0272891789537668</v>
      </c>
      <c r="AD6" s="26" t="n">
        <f aca="false">IF(Underwriting!$A5="","",ROUND(AD$2*$C6,-3))</f>
        <v>473000</v>
      </c>
      <c r="AE6" s="26" t="n">
        <f aca="false">IF(Underwriting!$A5="","",Underwriting!$T5-((AD6)*(1+BuyerPremium)+IF(N(Deals!S5)=0,0,MIN(N(Deals!S5),MAX(0,N(Deals!S5)+SheriffCostsFromBid-(AD6)*(1-RTTPurchase))))))</f>
        <v>-88677.12875</v>
      </c>
      <c r="AF6" s="27" t="n">
        <f aca="false">IF(Underwriting!$A5="","",IFERROR(AE6/(((AD6)*(1+BuyerPremium)+IF(N(Deals!S5)=0,0,MIN(N(Deals!S5),MAX(0,N(Deals!S5)+SheriffCostsFromBid-(AD6)*(1-RTTPurchase)))))+Underwriting!$S5)/(Underwriting!$M5/12),0))</f>
        <v>-0.0607224766630555</v>
      </c>
      <c r="AG6" s="27" t="n">
        <f aca="false">IF(Underwriting!$A5="","",IFERROR(Underwriting!$Z5/(((AD6)*(1+BuyerPremium)+IF(N(Deals!S5)=0,0,MIN(N(Deals!S5),MAX(0,N(Deals!S5)+SheriffCostsFromBid-(AD6)*(1-RTTPurchase)))))+Underwriting!$AA5),0))</f>
        <v>0.024598750954391</v>
      </c>
      <c r="AH6" s="26" t="n">
        <f aca="false">IF(Underwriting!$A5="","",$E6)</f>
        <v>242002.301020408</v>
      </c>
      <c r="AI6" s="26" t="n">
        <f aca="false">IF(Underwriting!$A5="","",Underwriting!$T5-((AH6)*(1+BuyerPremium)+IF(N(Deals!S5)=0,0,MIN(N(Deals!S5),MAX(0,N(Deals!S5)+SheriffCostsFromBid-(AH6)*(1-RTTPurchase))))))</f>
        <v>145785.535714286</v>
      </c>
      <c r="AJ6" s="27" t="n">
        <f aca="false">IF(Underwriting!$A5="","",IFERROR(AI6/(((AH6)*(1+BuyerPremium)+IF(N(Deals!S5)=0,0,MIN(N(Deals!S5),MAX(0,N(Deals!S5)+SheriffCostsFromBid-(AH6)*(1-RTTPurchase)))))+Underwriting!$S5)/(Underwriting!$M5/12),0))</f>
        <v>0.15</v>
      </c>
      <c r="AK6" s="27" t="n">
        <f aca="false">IF(Underwriting!$A5="","",IFERROR(Underwriting!$Z5/(((AH6)*(1+BuyerPremium)+IF(N(Deals!S5)=0,0,MIN(N(Deals!S5),MAX(0,N(Deals!S5)+SheriffCostsFromBid-(AH6)*(1-RTTPurchase)))))+Underwriting!$AA5),0))</f>
        <v>0.0369856630086804</v>
      </c>
    </row>
    <row r="7" customFormat="false" ht="15" hidden="false" customHeight="false" outlineLevel="0" collapsed="false">
      <c r="A7" s="0" t="str">
        <f aca="false">Underwriting!$A6</f>
        <v>1311511-3</v>
      </c>
      <c r="B7" s="0" t="str">
        <f aca="false">Underwriting!$B6</f>
        <v>3 Downside: ARV 640k, Gut, vacant</v>
      </c>
      <c r="C7" s="26" t="n">
        <f aca="false">IF(Underwriting!$A6="","",N(Deals!M6))</f>
        <v>640000</v>
      </c>
      <c r="D7" s="26" t="n">
        <f aca="false">IF(Underwriting!$A6="","",N(Deals!D6))</f>
        <v>27200</v>
      </c>
      <c r="E7" s="26" t="n">
        <f aca="false">IF(Underwriting!$A6="","",Underwriting!$D6)</f>
        <v>156861.983998841</v>
      </c>
      <c r="F7" s="26" t="n">
        <f aca="false">IF(Underwriting!$A6="","",$D7)</f>
        <v>27200</v>
      </c>
      <c r="G7" s="26" t="n">
        <f aca="false">IF(Underwriting!$A6="","",Underwriting!$T6-((F7)*(1+BuyerPremium)+IF(N(Deals!S6)=0,0,MIN(N(Deals!S6),MAX(0,N(Deals!S6)+SheriffCostsFromBid-(F7)*(1-RTTPurchase))))))</f>
        <v>256823.6667</v>
      </c>
      <c r="H7" s="27" t="n">
        <f aca="false">IF(Underwriting!$A6="","",IFERROR(G7/(((F7)*(1+BuyerPremium)+IF(N(Deals!S6)=0,0,MIN(N(Deals!S6),MAX(0,N(Deals!S6)+SheriffCostsFromBid-(F7)*(1-RTTPurchase)))))+Underwriting!$S6)/(Underwriting!$M6/12),0))</f>
        <v>0.432728044897051</v>
      </c>
      <c r="I7" s="27" t="n">
        <f aca="false">IF(Underwriting!$A6="","",IFERROR(Underwriting!$Z6/(((F7)*(1+BuyerPremium)+IF(N(Deals!S6)=0,0,MIN(N(Deals!S6),MAX(0,N(Deals!S6)+SheriffCostsFromBid-(F7)*(1-RTTPurchase)))))+Underwriting!$AA6),0))</f>
        <v>0.0493310733994508</v>
      </c>
      <c r="J7" s="26" t="n">
        <f aca="false">IF(Underwriting!$A6="","",ROUND(J$2*$C7,-3))</f>
        <v>128000</v>
      </c>
      <c r="K7" s="26" t="n">
        <f aca="false">IF(Underwriting!$A6="","",Underwriting!$T6-((J7)*(1+BuyerPremium)+IF(N(Deals!S6)=0,0,MIN(N(Deals!S6),MAX(0,N(Deals!S6)+SheriffCostsFromBid-(J7)*(1-RTTPurchase))))))</f>
        <v>154511.6667</v>
      </c>
      <c r="L7" s="27" t="n">
        <f aca="false">IF(Underwriting!$A6="","",IFERROR(K7/(((J7)*(1+BuyerPremium)+IF(N(Deals!S6)=0,0,MIN(N(Deals!S6),MAX(0,N(Deals!S6)+SheriffCostsFromBid-(J7)*(1-RTTPurchase)))))+Underwriting!$S6)/(Underwriting!$M6/12),0))</f>
        <v>0.197820255154891</v>
      </c>
      <c r="M7" s="27" t="n">
        <f aca="false">IF(Underwriting!$A6="","",IFERROR(Underwriting!$Z6/(((J7)*(1+BuyerPremium)+IF(N(Deals!S6)=0,0,MIN(N(Deals!S6),MAX(0,N(Deals!S6)+SheriffCostsFromBid-(J7)*(1-RTTPurchase)))))+Underwriting!$AA6),0))</f>
        <v>0.0374592144408096</v>
      </c>
      <c r="N7" s="26" t="n">
        <f aca="false">IF(Underwriting!$A6="","",ROUND(N$2*$C7,-3))</f>
        <v>192000</v>
      </c>
      <c r="O7" s="26" t="n">
        <f aca="false">IF(Underwriting!$A6="","",Underwriting!$T6-((N7)*(1+BuyerPremium)+IF(N(Deals!S6)=0,0,MIN(N(Deals!S6),MAX(0,N(Deals!S6)+SheriffCostsFromBid-(N7)*(1-RTTPurchase))))))</f>
        <v>89551.6667</v>
      </c>
      <c r="P7" s="27" t="n">
        <f aca="false">IF(Underwriting!$A6="","",IFERROR(O7/(((N7)*(1+BuyerPremium)+IF(N(Deals!S6)=0,0,MIN(N(Deals!S6),MAX(0,N(Deals!S6)+SheriffCostsFromBid-(N7)*(1-RTTPurchase)))))+Underwriting!$S6)/(Underwriting!$M6/12),0))</f>
        <v>0.0994836856833608</v>
      </c>
      <c r="Q7" s="27" t="n">
        <f aca="false">IF(Underwriting!$A6="","",IFERROR(Underwriting!$Z6/(((N7)*(1+BuyerPremium)+IF(N(Deals!S6)=0,0,MIN(N(Deals!S6),MAX(0,N(Deals!S6)+SheriffCostsFromBid-(N7)*(1-RTTPurchase)))))+Underwriting!$AA6),0))</f>
        <v>0.0324941708627399</v>
      </c>
      <c r="R7" s="26" t="n">
        <f aca="false">IF(Underwriting!$A6="","",ROUND(R$2*$C7,-3))</f>
        <v>256000</v>
      </c>
      <c r="S7" s="26" t="n">
        <f aca="false">IF(Underwriting!$A6="","",Underwriting!$T6-((R7)*(1+BuyerPremium)+IF(N(Deals!S6)=0,0,MIN(N(Deals!S6),MAX(0,N(Deals!S6)+SheriffCostsFromBid-(R7)*(1-RTTPurchase))))))</f>
        <v>24591.6667</v>
      </c>
      <c r="T7" s="27" t="n">
        <f aca="false">IF(Underwriting!$A6="","",IFERROR(S7/(((R7)*(1+BuyerPremium)+IF(N(Deals!S6)=0,0,MIN(N(Deals!S6),MAX(0,N(Deals!S6)+SheriffCostsFromBid-(R7)*(1-RTTPurchase)))))+Underwriting!$S6)/(Underwriting!$M6/12),0))</f>
        <v>0.0241270360161427</v>
      </c>
      <c r="U7" s="27" t="n">
        <f aca="false">IF(Underwriting!$A6="","",IFERROR(Underwriting!$Z6/(((R7)*(1+BuyerPremium)+IF(N(Deals!S6)=0,0,MIN(N(Deals!S6),MAX(0,N(Deals!S6)+SheriffCostsFromBid-(R7)*(1-RTTPurchase)))))+Underwriting!$AA6),0))</f>
        <v>0.0286912764362787</v>
      </c>
      <c r="V7" s="26" t="n">
        <f aca="false">IF(Underwriting!$A6="","",ROUND(V$2*$C7,-3))</f>
        <v>320000</v>
      </c>
      <c r="W7" s="26" t="n">
        <f aca="false">IF(Underwriting!$A6="","",Underwriting!$T6-((V7)*(1+BuyerPremium)+IF(N(Deals!S6)=0,0,MIN(N(Deals!S6),MAX(0,N(Deals!S6)+SheriffCostsFromBid-(V7)*(1-RTTPurchase))))))</f>
        <v>-40368.3332999999</v>
      </c>
      <c r="X7" s="27" t="n">
        <f aca="false">IF(Underwriting!$A6="","",IFERROR(W7/(((V7)*(1+BuyerPremium)+IF(N(Deals!S6)=0,0,MIN(N(Deals!S6),MAX(0,N(Deals!S6)+SheriffCostsFromBid-(V7)*(1-RTTPurchase)))))+Underwriting!$S6)/(Underwriting!$M6/12),0))</f>
        <v>-0.0354621139772738</v>
      </c>
      <c r="Y7" s="27" t="n">
        <f aca="false">IF(Underwriting!$A6="","",IFERROR(Underwriting!$Z6/(((V7)*(1+BuyerPremium)+IF(N(Deals!S6)=0,0,MIN(N(Deals!S6),MAX(0,N(Deals!S6)+SheriffCostsFromBid-(V7)*(1-RTTPurchase)))))+Underwriting!$AA6),0))</f>
        <v>0.0256852511728522</v>
      </c>
      <c r="Z7" s="26" t="n">
        <f aca="false">IF(Underwriting!$A6="","",ROUND(Z$2*$C7,-3))</f>
        <v>384000</v>
      </c>
      <c r="AA7" s="26" t="n">
        <f aca="false">IF(Underwriting!$A6="","",Underwriting!$T6-((Z7)*(1+BuyerPremium)+IF(N(Deals!S6)=0,0,MIN(N(Deals!S6),MAX(0,N(Deals!S6)+SheriffCostsFromBid-(Z7)*(1-RTTPurchase))))))</f>
        <v>-105328.3333</v>
      </c>
      <c r="AB7" s="27" t="n">
        <f aca="false">IF(Underwriting!$A6="","",IFERROR(AA7/(((Z7)*(1+BuyerPremium)+IF(N(Deals!S6)=0,0,MIN(N(Deals!S6),MAX(0,N(Deals!S6)+SheriffCostsFromBid-(Z7)*(1-RTTPurchase)))))+Underwriting!$S6)/(Underwriting!$M6/12),0))</f>
        <v>-0.0837638133015377</v>
      </c>
      <c r="AC7" s="27" t="n">
        <f aca="false">IF(Underwriting!$A6="","",IFERROR(Underwriting!$Z6/(((Z7)*(1+BuyerPremium)+IF(N(Deals!S6)=0,0,MIN(N(Deals!S6),MAX(0,N(Deals!S6)+SheriffCostsFromBid-(Z7)*(1-RTTPurchase)))))+Underwriting!$AA6),0))</f>
        <v>0.0232493809320812</v>
      </c>
      <c r="AD7" s="26" t="n">
        <f aca="false">IF(Underwriting!$A6="","",ROUND(AD$2*$C7,-3))</f>
        <v>448000</v>
      </c>
      <c r="AE7" s="26" t="n">
        <f aca="false">IF(Underwriting!$A6="","",Underwriting!$T6-((AD7)*(1+BuyerPremium)+IF(N(Deals!S6)=0,0,MIN(N(Deals!S6),MAX(0,N(Deals!S6)+SheriffCostsFromBid-(AD7)*(1-RTTPurchase))))))</f>
        <v>-170288.3333</v>
      </c>
      <c r="AF7" s="27" t="n">
        <f aca="false">IF(Underwriting!$A6="","",IFERROR(AE7/(((AD7)*(1+BuyerPremium)+IF(N(Deals!S6)=0,0,MIN(N(Deals!S6),MAX(0,N(Deals!S6)+SheriffCostsFromBid-(AD7)*(1-RTTPurchase)))))+Underwriting!$S6)/(Underwriting!$M6/12),0))</f>
        <v>-0.123707716873007</v>
      </c>
      <c r="AG7" s="27" t="n">
        <f aca="false">IF(Underwriting!$A6="","",IFERROR(Underwriting!$Z6/(((AD7)*(1+BuyerPremium)+IF(N(Deals!S6)=0,0,MIN(N(Deals!S6),MAX(0,N(Deals!S6)+SheriffCostsFromBid-(AD7)*(1-RTTPurchase)))))+Underwriting!$AA6),0))</f>
        <v>0.0212355040921139</v>
      </c>
      <c r="AH7" s="26" t="n">
        <f aca="false">IF(Underwriting!$A6="","",$E7)</f>
        <v>156861.983998841</v>
      </c>
      <c r="AI7" s="26" t="n">
        <f aca="false">IF(Underwriting!$A6="","",Underwriting!$T6-((AH7)*(1+BuyerPremium)+IF(N(Deals!S6)=0,0,MIN(N(Deals!S6),MAX(0,N(Deals!S6)+SheriffCostsFromBid-(AH7)*(1-RTTPurchase))))))</f>
        <v>125216.752941176</v>
      </c>
      <c r="AJ7" s="27" t="n">
        <f aca="false">IF(Underwriting!$A6="","",IFERROR(AI7/(((AH7)*(1+BuyerPremium)+IF(N(Deals!S6)=0,0,MIN(N(Deals!S6),MAX(0,N(Deals!S6)+SheriffCostsFromBid-(AH7)*(1-RTTPurchase)))))+Underwriting!$S6)/(Underwriting!$M6/12),0))</f>
        <v>0.15</v>
      </c>
      <c r="AK7" s="27" t="n">
        <f aca="false">IF(Underwriting!$A6="","",IFERROR(Underwriting!$Z6/(((AH7)*(1+BuyerPremium)+IF(N(Deals!S6)=0,0,MIN(N(Deals!S6),MAX(0,N(Deals!S6)+SheriffCostsFromBid-(AH7)*(1-RTTPurchase)))))+Underwriting!$AA6),0))</f>
        <v>0.0350444068824782</v>
      </c>
    </row>
    <row r="8" customFormat="false" ht="15" hidden="false" customHeight="false" outlineLevel="0" collapsed="false">
      <c r="A8" s="0" t="str">
        <f aca="false">Underwriting!$A7</f>
        <v>1311511-4</v>
      </c>
      <c r="B8" s="0" t="str">
        <f aca="false">Underwriting!$B7</f>
        <v>4 Upside: ARV 710k, Heavy, vacant</v>
      </c>
      <c r="C8" s="26" t="n">
        <f aca="false">IF(Underwriting!$A7="","",N(Deals!M7))</f>
        <v>710000</v>
      </c>
      <c r="D8" s="26" t="n">
        <f aca="false">IF(Underwriting!$A7="","",N(Deals!D7))</f>
        <v>27200</v>
      </c>
      <c r="E8" s="26" t="n">
        <f aca="false">IF(Underwriting!$A7="","",Underwriting!$D7)</f>
        <v>299377.514285714</v>
      </c>
      <c r="F8" s="26" t="n">
        <f aca="false">IF(Underwriting!$A7="","",$D8)</f>
        <v>27200</v>
      </c>
      <c r="G8" s="26" t="n">
        <f aca="false">IF(Underwriting!$A7="","",Underwriting!$T7-((F8)*(1+BuyerPremium)+IF(N(Deals!S7)=0,0,MIN(N(Deals!S7),MAX(0,N(Deals!S7)+SheriffCostsFromBid-(F8)*(1-RTTPurchase))))))</f>
        <v>405069.797</v>
      </c>
      <c r="H8" s="27" t="n">
        <f aca="false">IF(Underwriting!$A7="","",IFERROR(G8/(((F8)*(1+BuyerPremium)+IF(N(Deals!S7)=0,0,MIN(N(Deals!S7),MAX(0,N(Deals!S7)+SheriffCostsFromBid-(F8)*(1-RTTPurchase)))))+Underwriting!$S7)/(Underwriting!$M7/12),0))</f>
        <v>1.01700395035444</v>
      </c>
      <c r="I8" s="27" t="n">
        <f aca="false">IF(Underwriting!$A7="","",IFERROR(Underwriting!$Z7/(((F8)*(1+BuyerPremium)+IF(N(Deals!S7)=0,0,MIN(N(Deals!S7),MAX(0,N(Deals!S7)+SheriffCostsFromBid-(F8)*(1-RTTPurchase)))))+Underwriting!$AA7),0))</f>
        <v>0.0777760596085837</v>
      </c>
      <c r="J8" s="26" t="n">
        <f aca="false">IF(Underwriting!$A7="","",ROUND(J$2*$C8,-3))</f>
        <v>142000</v>
      </c>
      <c r="K8" s="26" t="n">
        <f aca="false">IF(Underwriting!$A7="","",Underwriting!$T7-((J8)*(1+BuyerPremium)+IF(N(Deals!S7)=0,0,MIN(N(Deals!S7),MAX(0,N(Deals!S7)+SheriffCostsFromBid-(J8)*(1-RTTPurchase))))))</f>
        <v>288547.797</v>
      </c>
      <c r="L8" s="27" t="n">
        <f aca="false">IF(Underwriting!$A7="","",IFERROR(K8/(((J8)*(1+BuyerPremium)+IF(N(Deals!S7)=0,0,MIN(N(Deals!S7),MAX(0,N(Deals!S7)+SheriffCostsFromBid-(J8)*(1-RTTPurchase)))))+Underwriting!$S7)/(Underwriting!$M7/12),0))</f>
        <v>0.48700008618558</v>
      </c>
      <c r="M8" s="27" t="n">
        <f aca="false">IF(Underwriting!$A7="","",IFERROR(Underwriting!$Z7/(((J8)*(1+BuyerPremium)+IF(N(Deals!S7)=0,0,MIN(N(Deals!S7),MAX(0,N(Deals!S7)+SheriffCostsFromBid-(J8)*(1-RTTPurchase)))))+Underwriting!$AA7),0))</f>
        <v>0.0522186120976287</v>
      </c>
      <c r="N8" s="26" t="n">
        <f aca="false">IF(Underwriting!$A7="","",ROUND(N$2*$C8,-3))</f>
        <v>213000</v>
      </c>
      <c r="O8" s="26" t="n">
        <f aca="false">IF(Underwriting!$A7="","",Underwriting!$T7-((N8)*(1+BuyerPremium)+IF(N(Deals!S7)=0,0,MIN(N(Deals!S7),MAX(0,N(Deals!S7)+SheriffCostsFromBid-(N8)*(1-RTTPurchase))))))</f>
        <v>216482.797</v>
      </c>
      <c r="P8" s="27" t="n">
        <f aca="false">IF(Underwriting!$A7="","",IFERROR(O8/(((N8)*(1+BuyerPremium)+IF(N(Deals!S7)=0,0,MIN(N(Deals!S7),MAX(0,N(Deals!S7)+SheriffCostsFromBid-(N8)*(1-RTTPurchase)))))+Underwriting!$S7)/(Underwriting!$M7/12),0))</f>
        <v>0.303789099088801</v>
      </c>
      <c r="Q8" s="27" t="n">
        <f aca="false">IF(Underwriting!$A7="","",IFERROR(Underwriting!$Z7/(((N8)*(1+BuyerPremium)+IF(N(Deals!S7)=0,0,MIN(N(Deals!S7),MAX(0,N(Deals!S7)+SheriffCostsFromBid-(N8)*(1-RTTPurchase)))))+Underwriting!$AA7),0))</f>
        <v>0.0433986921467877</v>
      </c>
      <c r="R8" s="26" t="n">
        <f aca="false">IF(Underwriting!$A7="","",ROUND(R$2*$C8,-3))</f>
        <v>284000</v>
      </c>
      <c r="S8" s="26" t="n">
        <f aca="false">IF(Underwriting!$A7="","",Underwriting!$T7-((R8)*(1+BuyerPremium)+IF(N(Deals!S7)=0,0,MIN(N(Deals!S7),MAX(0,N(Deals!S7)+SheriffCostsFromBid-(R8)*(1-RTTPurchase))))))</f>
        <v>144417.797</v>
      </c>
      <c r="T8" s="27" t="n">
        <f aca="false">IF(Underwriting!$A7="","",IFERROR(S8/(((R8)*(1+BuyerPremium)+IF(N(Deals!S7)=0,0,MIN(N(Deals!S7),MAX(0,N(Deals!S7)+SheriffCostsFromBid-(R8)*(1-RTTPurchase)))))+Underwriting!$S7)/(Underwriting!$M7/12),0))</f>
        <v>0.173429589197675</v>
      </c>
      <c r="U8" s="27" t="n">
        <f aca="false">IF(Underwriting!$A7="","",IFERROR(Underwriting!$Z7/(((R8)*(1+BuyerPremium)+IF(N(Deals!S7)=0,0,MIN(N(Deals!S7),MAX(0,N(Deals!S7)+SheriffCostsFromBid-(R8)*(1-RTTPurchase)))))+Underwriting!$AA7),0))</f>
        <v>0.0371276863106398</v>
      </c>
      <c r="V8" s="26" t="n">
        <f aca="false">IF(Underwriting!$A7="","",ROUND(V$2*$C8,-3))</f>
        <v>355000</v>
      </c>
      <c r="W8" s="26" t="n">
        <f aca="false">IF(Underwriting!$A7="","",Underwriting!$T7-((V8)*(1+BuyerPremium)+IF(N(Deals!S7)=0,0,MIN(N(Deals!S7),MAX(0,N(Deals!S7)+SheriffCostsFromBid-(V8)*(1-RTTPurchase))))))</f>
        <v>72352.797</v>
      </c>
      <c r="X8" s="27" t="n">
        <f aca="false">IF(Underwriting!$A7="","",IFERROR(W8/(((V8)*(1+BuyerPremium)+IF(N(Deals!S7)=0,0,MIN(N(Deals!S7),MAX(0,N(Deals!S7)+SheriffCostsFromBid-(V8)*(1-RTTPurchase)))))+Underwriting!$S7)/(Underwriting!$M7/12),0))</f>
        <v>0.0759349918954993</v>
      </c>
      <c r="Y8" s="27" t="n">
        <f aca="false">IF(Underwriting!$A7="","",IFERROR(Underwriting!$Z7/(((V8)*(1+BuyerPremium)+IF(N(Deals!S7)=0,0,MIN(N(Deals!S7),MAX(0,N(Deals!S7)+SheriffCostsFromBid-(V8)*(1-RTTPurchase)))))+Underwriting!$AA7),0))</f>
        <v>0.0324401615824507</v>
      </c>
      <c r="Z8" s="26" t="n">
        <f aca="false">IF(Underwriting!$A7="","",ROUND(Z$2*$C8,-3))</f>
        <v>426000</v>
      </c>
      <c r="AA8" s="26" t="n">
        <f aca="false">IF(Underwriting!$A7="","",Underwriting!$T7-((Z8)*(1+BuyerPremium)+IF(N(Deals!S7)=0,0,MIN(N(Deals!S7),MAX(0,N(Deals!S7)+SheriffCostsFromBid-(Z8)*(1-RTTPurchase))))))</f>
        <v>287.797000000021</v>
      </c>
      <c r="AB8" s="27" t="n">
        <f aca="false">IF(Underwriting!$A7="","",IFERROR(AA8/(((Z8)*(1+BuyerPremium)+IF(N(Deals!S7)=0,0,MIN(N(Deals!S7),MAX(0,N(Deals!S7)+SheriffCostsFromBid-(Z8)*(1-RTTPurchase)))))+Underwriting!$S7)/(Underwriting!$M7/12),0))</f>
        <v>0.000268233687593521</v>
      </c>
      <c r="AC8" s="27" t="n">
        <f aca="false">IF(Underwriting!$A7="","",IFERROR(Underwriting!$Z7/(((Z8)*(1+BuyerPremium)+IF(N(Deals!S7)=0,0,MIN(N(Deals!S7),MAX(0,N(Deals!S7)+SheriffCostsFromBid-(Z8)*(1-RTTPurchase)))))+Underwriting!$AA7),0))</f>
        <v>0.0288035887701557</v>
      </c>
      <c r="AD8" s="26" t="n">
        <f aca="false">IF(Underwriting!$A7="","",ROUND(AD$2*$C8,-3))</f>
        <v>497000</v>
      </c>
      <c r="AE8" s="26" t="n">
        <f aca="false">IF(Underwriting!$A7="","",Underwriting!$T7-((AD8)*(1+BuyerPremium)+IF(N(Deals!S7)=0,0,MIN(N(Deals!S7),MAX(0,N(Deals!S7)+SheriffCostsFromBid-(AD8)*(1-RTTPurchase))))))</f>
        <v>-71777.203</v>
      </c>
      <c r="AF8" s="27" t="n">
        <f aca="false">IF(Underwriting!$A7="","",IFERROR(AE8/(((AD8)*(1+BuyerPremium)+IF(N(Deals!S7)=0,0,MIN(N(Deals!S7),MAX(0,N(Deals!S7)+SheriffCostsFromBid-(AD8)*(1-RTTPurchase)))))+Underwriting!$S7)/(Underwriting!$M7/12),0))</f>
        <v>-0.0601631733601906</v>
      </c>
      <c r="AG8" s="27" t="n">
        <f aca="false">IF(Underwriting!$A7="","",IFERROR(Underwriting!$Z7/(((AD8)*(1+BuyerPremium)+IF(N(Deals!S7)=0,0,MIN(N(Deals!S7),MAX(0,N(Deals!S7)+SheriffCostsFromBid-(AD8)*(1-RTTPurchase)))))+Underwriting!$AA7),0))</f>
        <v>0.0259001566947367</v>
      </c>
      <c r="AH8" s="26" t="n">
        <f aca="false">IF(Underwriting!$A7="","",$E8)</f>
        <v>299377.514285714</v>
      </c>
      <c r="AI8" s="26" t="n">
        <f aca="false">IF(Underwriting!$A7="","",Underwriting!$T7-((AH8)*(1+BuyerPremium)+IF(N(Deals!S7)=0,0,MIN(N(Deals!S7),MAX(0,N(Deals!S7)+SheriffCostsFromBid-(AH8)*(1-RTTPurchase))))))</f>
        <v>128809.62</v>
      </c>
      <c r="AJ8" s="27" t="n">
        <f aca="false">IF(Underwriting!$A7="","",IFERROR(AI8/(((AH8)*(1+BuyerPremium)+IF(N(Deals!S7)=0,0,MIN(N(Deals!S7),MAX(0,N(Deals!S7)+SheriffCostsFromBid-(AH8)*(1-RTTPurchase)))))+Underwriting!$S7)/(Underwriting!$M7/12),0))</f>
        <v>0.15</v>
      </c>
      <c r="AK8" s="27" t="n">
        <f aca="false">IF(Underwriting!$A7="","",IFERROR(Underwriting!$Z7/(((AH8)*(1+BuyerPremium)+IF(N(Deals!S7)=0,0,MIN(N(Deals!S7),MAX(0,N(Deals!S7)+SheriffCostsFromBid-(AH8)*(1-RTTPurchase)))))+Underwriting!$AA7),0))</f>
        <v>0.0360010002510715</v>
      </c>
    </row>
    <row r="9" customFormat="false" ht="15" hidden="false" customHeight="false" outlineLevel="0" collapsed="false">
      <c r="A9" s="0" t="str">
        <f aca="false">Underwriting!$A8</f>
        <v>1311511-5</v>
      </c>
      <c r="B9" s="0" t="str">
        <f aca="false">Underwriting!$B8</f>
        <v>5 Junior plaintiff: base + $300k senior survives</v>
      </c>
      <c r="C9" s="26" t="n">
        <f aca="false">IF(Underwriting!$A8="","",N(Deals!M8))</f>
        <v>675000</v>
      </c>
      <c r="D9" s="26" t="n">
        <f aca="false">IF(Underwriting!$A8="","",N(Deals!D8))</f>
        <v>27200</v>
      </c>
      <c r="E9" s="26" t="n">
        <f aca="false">IF(Underwriting!$A8="","",Underwriting!$D8)</f>
        <v>0</v>
      </c>
      <c r="F9" s="26" t="n">
        <f aca="false">IF(Underwriting!$A8="","",$D9)</f>
        <v>27200</v>
      </c>
      <c r="G9" s="26" t="n">
        <f aca="false">IF(Underwriting!$A8="","",Underwriting!$T8-((F9)*(1+BuyerPremium)+IF(N(Deals!S8)=0,0,MIN(N(Deals!S8),MAX(0,N(Deals!S8)+SheriffCostsFromBid-(F9)*(1-RTTPurchase))))))</f>
        <v>73320.947</v>
      </c>
      <c r="H9" s="27" t="n">
        <f aca="false">IF(Underwriting!$A8="","",IFERROR(G9/(((F9)*(1+BuyerPremium)+IF(N(Deals!S8)=0,0,MIN(N(Deals!S8),MAX(0,N(Deals!S8)+SheriffCostsFromBid-(F9)*(1-RTTPurchase)))))+Underwriting!$S8)/(Underwriting!$M8/12),0))</f>
        <v>0.0816221505673485</v>
      </c>
      <c r="I9" s="27" t="n">
        <f aca="false">IF(Underwriting!$A8="","",IFERROR(Underwriting!$Z8/(((F9)*(1+BuyerPremium)+IF(N(Deals!S8)=0,0,MIN(N(Deals!S8),MAX(0,N(Deals!S8)+SheriffCostsFromBid-(F9)*(1-RTTPurchase)))))+Underwriting!$AA8),0))</f>
        <v>0.03200467441103</v>
      </c>
      <c r="J9" s="26" t="n">
        <f aca="false">IF(Underwriting!$A8="","",ROUND(J$2*$C9,-3))</f>
        <v>135000</v>
      </c>
      <c r="K9" s="26" t="n">
        <f aca="false">IF(Underwriting!$A8="","",Underwriting!$T8-((J9)*(1+BuyerPremium)+IF(N(Deals!S8)=0,0,MIN(N(Deals!S8),MAX(0,N(Deals!S8)+SheriffCostsFromBid-(J9)*(1-RTTPurchase))))))</f>
        <v>-36096.053</v>
      </c>
      <c r="L9" s="27" t="n">
        <f aca="false">IF(Underwriting!$A8="","",IFERROR(K9/(((J9)*(1+BuyerPremium)+IF(N(Deals!S8)=0,0,MIN(N(Deals!S8),MAX(0,N(Deals!S8)+SheriffCostsFromBid-(J9)*(1-RTTPurchase)))))+Underwriting!$S8)/(Underwriting!$M8/12),0))</f>
        <v>-0.0334018949548128</v>
      </c>
      <c r="M9" s="27" t="n">
        <f aca="false">IF(Underwriting!$A8="","",IFERROR(Underwriting!$Z8/(((J9)*(1+BuyerPremium)+IF(N(Deals!S8)=0,0,MIN(N(Deals!S8),MAX(0,N(Deals!S8)+SheriffCostsFromBid-(J9)*(1-RTTPurchase)))))+Underwriting!$AA8),0))</f>
        <v>0.0265963456956462</v>
      </c>
      <c r="N9" s="26" t="n">
        <f aca="false">IF(Underwriting!$A8="","",ROUND(N$2*$C9,-3))</f>
        <v>203000</v>
      </c>
      <c r="O9" s="26" t="n">
        <f aca="false">IF(Underwriting!$A8="","",Underwriting!$T8-((N9)*(1+BuyerPremium)+IF(N(Deals!S8)=0,0,MIN(N(Deals!S8),MAX(0,N(Deals!S8)+SheriffCostsFromBid-(N9)*(1-RTTPurchase))))))</f>
        <v>-105116.053</v>
      </c>
      <c r="P9" s="27" t="n">
        <f aca="false">IF(Underwriting!$A8="","",IFERROR(O9/(((N9)*(1+BuyerPremium)+IF(N(Deals!S8)=0,0,MIN(N(Deals!S8),MAX(0,N(Deals!S8)+SheriffCostsFromBid-(N9)*(1-RTTPurchase)))))+Underwriting!$S8)/(Underwriting!$M8/12),0))</f>
        <v>-0.0879123034262903</v>
      </c>
      <c r="Q9" s="27" t="n">
        <f aca="false">IF(Underwriting!$A8="","",IFERROR(Underwriting!$Z8/(((N9)*(1+BuyerPremium)+IF(N(Deals!S8)=0,0,MIN(N(Deals!S8),MAX(0,N(Deals!S8)+SheriffCostsFromBid-(N9)*(1-RTTPurchase)))))+Underwriting!$AA8),0))</f>
        <v>0.0240343830308445</v>
      </c>
      <c r="R9" s="26" t="n">
        <f aca="false">IF(Underwriting!$A8="","",ROUND(R$2*$C9,-3))</f>
        <v>270000</v>
      </c>
      <c r="S9" s="26" t="n">
        <f aca="false">IF(Underwriting!$A8="","",Underwriting!$T8-((R9)*(1+BuyerPremium)+IF(N(Deals!S8)=0,0,MIN(N(Deals!S8),MAX(0,N(Deals!S8)+SheriffCostsFromBid-(R9)*(1-RTTPurchase))))))</f>
        <v>-173121.053</v>
      </c>
      <c r="T9" s="27" t="n">
        <f aca="false">IF(Underwriting!$A8="","",IFERROR(S9/(((R9)*(1+BuyerPremium)+IF(N(Deals!S8)=0,0,MIN(N(Deals!S8),MAX(0,N(Deals!S8)+SheriffCostsFromBid-(R9)*(1-RTTPurchase)))))+Underwriting!$S8)/(Underwriting!$M8/12),0))</f>
        <v>-0.132251014397319</v>
      </c>
      <c r="U9" s="27" t="n">
        <f aca="false">IF(Underwriting!$A8="","",IFERROR(Underwriting!$Z8/(((R9)*(1+BuyerPremium)+IF(N(Deals!S8)=0,0,MIN(N(Deals!S8),MAX(0,N(Deals!S8)+SheriffCostsFromBid-(R9)*(1-RTTPurchase)))))+Underwriting!$AA8),0))</f>
        <v>0.0219509916555202</v>
      </c>
      <c r="V9" s="26" t="n">
        <f aca="false">IF(Underwriting!$A8="","",ROUND(V$2*$C9,-3))</f>
        <v>338000</v>
      </c>
      <c r="W9" s="26" t="n">
        <f aca="false">IF(Underwriting!$A8="","",Underwriting!$T8-((V9)*(1+BuyerPremium)+IF(N(Deals!S8)=0,0,MIN(N(Deals!S8),MAX(0,N(Deals!S8)+SheriffCostsFromBid-(V9)*(1-RTTPurchase))))))</f>
        <v>-242141.053</v>
      </c>
      <c r="X9" s="27" t="n">
        <f aca="false">IF(Underwriting!$A8="","",IFERROR(W9/(((V9)*(1+BuyerPremium)+IF(N(Deals!S8)=0,0,MIN(N(Deals!S8),MAX(0,N(Deals!S8)+SheriffCostsFromBid-(V9)*(1-RTTPurchase)))))+Underwriting!$S8)/(Underwriting!$M8/12),0))</f>
        <v>-0.170034853564252</v>
      </c>
      <c r="Y9" s="27" t="n">
        <f aca="false">IF(Underwriting!$A8="","",IFERROR(Underwriting!$Z8/(((V9)*(1+BuyerPremium)+IF(N(Deals!S8)=0,0,MIN(N(Deals!S8),MAX(0,N(Deals!S8)+SheriffCostsFromBid-(V9)*(1-RTTPurchase)))))+Underwriting!$AA8),0))</f>
        <v>0.0201759596263341</v>
      </c>
      <c r="Z9" s="26" t="n">
        <f aca="false">IF(Underwriting!$A8="","",ROUND(Z$2*$C9,-3))</f>
        <v>405000</v>
      </c>
      <c r="AA9" s="26" t="n">
        <f aca="false">IF(Underwriting!$A8="","",Underwriting!$T8-((Z9)*(1+BuyerPremium)+IF(N(Deals!S8)=0,0,MIN(N(Deals!S8),MAX(0,N(Deals!S8)+SheriffCostsFromBid-(Z9)*(1-RTTPurchase))))))</f>
        <v>-310146.053</v>
      </c>
      <c r="AB9" s="27" t="n">
        <f aca="false">IF(Underwriting!$A8="","",IFERROR(AA9/(((Z9)*(1+BuyerPremium)+IF(N(Deals!S8)=0,0,MIN(N(Deals!S8),MAX(0,N(Deals!S8)+SheriffCostsFromBid-(Z9)*(1-RTTPurchase)))))+Underwriting!$S8)/(Underwriting!$M8/12),0))</f>
        <v>-0.201732971261061</v>
      </c>
      <c r="AC9" s="27" t="n">
        <f aca="false">IF(Underwriting!$A8="","",IFERROR(Underwriting!$Z8/(((Z9)*(1+BuyerPremium)+IF(N(Deals!S8)=0,0,MIN(N(Deals!S8),MAX(0,N(Deals!S8)+SheriffCostsFromBid-(Z9)*(1-RTTPurchase)))))+Underwriting!$AA8),0))</f>
        <v>0.0186870806444626</v>
      </c>
      <c r="AD9" s="26" t="n">
        <f aca="false">IF(Underwriting!$A8="","",ROUND(AD$2*$C9,-3))</f>
        <v>473000</v>
      </c>
      <c r="AE9" s="26" t="n">
        <f aca="false">IF(Underwriting!$A8="","",Underwriting!$T8-((AD9)*(1+BuyerPremium)+IF(N(Deals!S8)=0,0,MIN(N(Deals!S8),MAX(0,N(Deals!S8)+SheriffCostsFromBid-(AD9)*(1-RTTPurchase))))))</f>
        <v>-379166.053</v>
      </c>
      <c r="AF9" s="27" t="n">
        <f aca="false">IF(Underwriting!$A8="","",IFERROR(AE9/(((AD9)*(1+BuyerPremium)+IF(N(Deals!S8)=0,0,MIN(N(Deals!S8),MAX(0,N(Deals!S8)+SheriffCostsFromBid-(AD9)*(1-RTTPurchase)))))+Underwriting!$S8)/(Underwriting!$M8/12),0))</f>
        <v>-0.22945798618633</v>
      </c>
      <c r="AG9" s="27" t="n">
        <f aca="false">IF(Underwriting!$A8="","",IFERROR(Underwriting!$Z8/(((AD9)*(1+BuyerPremium)+IF(N(Deals!S8)=0,0,MIN(N(Deals!S8),MAX(0,N(Deals!S8)+SheriffCostsFromBid-(AD9)*(1-RTTPurchase)))))+Underwriting!$AA8),0))</f>
        <v>0.0173850108198336</v>
      </c>
      <c r="AH9" s="26" t="n">
        <f aca="false">IF(Underwriting!$A8="","",$E9)</f>
        <v>0</v>
      </c>
      <c r="AI9" s="26" t="n">
        <f aca="false">IF(Underwriting!$A8="","",Underwriting!$T8-((AH9)*(1+BuyerPremium)+IF(N(Deals!S8)=0,0,MIN(N(Deals!S8),MAX(0,N(Deals!S8)+SheriffCostsFromBid-(AH9)*(1-RTTPurchase))))))</f>
        <v>100928.947</v>
      </c>
      <c r="AJ9" s="27" t="n">
        <f aca="false">IF(Underwriting!$A8="","",IFERROR(AI9/(((AH9)*(1+BuyerPremium)+IF(N(Deals!S8)=0,0,MIN(N(Deals!S8),MAX(0,N(Deals!S8)+SheriffCostsFromBid-(AH9)*(1-RTTPurchase)))))+Underwriting!$S8)/(Underwriting!$M8/12),0))</f>
        <v>0.118421753951559</v>
      </c>
      <c r="AK9" s="27" t="n">
        <f aca="false">IF(Underwriting!$A8="","",IFERROR(Underwriting!$Z8/(((AH9)*(1+BuyerPremium)+IF(N(Deals!S8)=0,0,MIN(N(Deals!S8),MAX(0,N(Deals!S8)+SheriffCostsFromBid-(AH9)*(1-RTTPurchase)))))+Underwriting!$AA8),0))</f>
        <v>0.0337356054372205</v>
      </c>
    </row>
    <row r="10" customFormat="false" ht="15" hidden="false" customHeight="false" outlineLevel="0" collapsed="false">
      <c r="A10" s="0" t="str">
        <f aca="false">Underwriting!$A9</f>
        <v/>
      </c>
      <c r="B10" s="0" t="str">
        <f aca="false">Underwriting!$B9</f>
        <v/>
      </c>
      <c r="C10" s="26" t="str">
        <f aca="false">IF(Underwriting!$A9="","",N(Deals!M9))</f>
        <v/>
      </c>
      <c r="D10" s="26" t="str">
        <f aca="false">IF(Underwriting!$A9="","",N(Deals!D9))</f>
        <v/>
      </c>
      <c r="E10" s="26" t="str">
        <f aca="false">IF(Underwriting!$A9="","",Underwriting!$D9)</f>
        <v/>
      </c>
      <c r="F10" s="26" t="str">
        <f aca="false">IF(Underwriting!$A9="","",$D10)</f>
        <v/>
      </c>
      <c r="G10" s="26" t="str">
        <f aca="false">IF(Underwriting!$A9="","",Underwriting!$T9-((F10)*(1+BuyerPremium)+IF(N(Deals!S9)=0,0,MIN(N(Deals!S9),MAX(0,N(Deals!S9)+SheriffCostsFromBid-(F10)*(1-RTTPurchase))))))</f>
        <v/>
      </c>
      <c r="H10" s="27" t="str">
        <f aca="false">IF(Underwriting!$A9="","",IFERROR(G10/(((F10)*(1+BuyerPremium)+IF(N(Deals!S9)=0,0,MIN(N(Deals!S9),MAX(0,N(Deals!S9)+SheriffCostsFromBid-(F10)*(1-RTTPurchase)))))+Underwriting!$S9)/(Underwriting!$M9/12),0))</f>
        <v/>
      </c>
      <c r="I10" s="27" t="str">
        <f aca="false">IF(Underwriting!$A9="","",IFERROR(Underwriting!$Z9/(((F10)*(1+BuyerPremium)+IF(N(Deals!S9)=0,0,MIN(N(Deals!S9),MAX(0,N(Deals!S9)+SheriffCostsFromBid-(F10)*(1-RTTPurchase)))))+Underwriting!$AA9),0))</f>
        <v/>
      </c>
      <c r="J10" s="26" t="str">
        <f aca="false">IF(Underwriting!$A9="","",ROUND(J$2*$C10,-3))</f>
        <v/>
      </c>
      <c r="K10" s="26" t="str">
        <f aca="false">IF(Underwriting!$A9="","",Underwriting!$T9-((J10)*(1+BuyerPremium)+IF(N(Deals!S9)=0,0,MIN(N(Deals!S9),MAX(0,N(Deals!S9)+SheriffCostsFromBid-(J10)*(1-RTTPurchase))))))</f>
        <v/>
      </c>
      <c r="L10" s="27" t="str">
        <f aca="false">IF(Underwriting!$A9="","",IFERROR(K10/(((J10)*(1+BuyerPremium)+IF(N(Deals!S9)=0,0,MIN(N(Deals!S9),MAX(0,N(Deals!S9)+SheriffCostsFromBid-(J10)*(1-RTTPurchase)))))+Underwriting!$S9)/(Underwriting!$M9/12),0))</f>
        <v/>
      </c>
      <c r="M10" s="27" t="str">
        <f aca="false">IF(Underwriting!$A9="","",IFERROR(Underwriting!$Z9/(((J10)*(1+BuyerPremium)+IF(N(Deals!S9)=0,0,MIN(N(Deals!S9),MAX(0,N(Deals!S9)+SheriffCostsFromBid-(J10)*(1-RTTPurchase)))))+Underwriting!$AA9),0))</f>
        <v/>
      </c>
      <c r="N10" s="26" t="str">
        <f aca="false">IF(Underwriting!$A9="","",ROUND(N$2*$C10,-3))</f>
        <v/>
      </c>
      <c r="O10" s="26" t="str">
        <f aca="false">IF(Underwriting!$A9="","",Underwriting!$T9-((N10)*(1+BuyerPremium)+IF(N(Deals!S9)=0,0,MIN(N(Deals!S9),MAX(0,N(Deals!S9)+SheriffCostsFromBid-(N10)*(1-RTTPurchase))))))</f>
        <v/>
      </c>
      <c r="P10" s="27" t="str">
        <f aca="false">IF(Underwriting!$A9="","",IFERROR(O10/(((N10)*(1+BuyerPremium)+IF(N(Deals!S9)=0,0,MIN(N(Deals!S9),MAX(0,N(Deals!S9)+SheriffCostsFromBid-(N10)*(1-RTTPurchase)))))+Underwriting!$S9)/(Underwriting!$M9/12),0))</f>
        <v/>
      </c>
      <c r="Q10" s="27" t="str">
        <f aca="false">IF(Underwriting!$A9="","",IFERROR(Underwriting!$Z9/(((N10)*(1+BuyerPremium)+IF(N(Deals!S9)=0,0,MIN(N(Deals!S9),MAX(0,N(Deals!S9)+SheriffCostsFromBid-(N10)*(1-RTTPurchase)))))+Underwriting!$AA9),0))</f>
        <v/>
      </c>
      <c r="R10" s="26" t="str">
        <f aca="false">IF(Underwriting!$A9="","",ROUND(R$2*$C10,-3))</f>
        <v/>
      </c>
      <c r="S10" s="26" t="str">
        <f aca="false">IF(Underwriting!$A9="","",Underwriting!$T9-((R10)*(1+BuyerPremium)+IF(N(Deals!S9)=0,0,MIN(N(Deals!S9),MAX(0,N(Deals!S9)+SheriffCostsFromBid-(R10)*(1-RTTPurchase))))))</f>
        <v/>
      </c>
      <c r="T10" s="27" t="str">
        <f aca="false">IF(Underwriting!$A9="","",IFERROR(S10/(((R10)*(1+BuyerPremium)+IF(N(Deals!S9)=0,0,MIN(N(Deals!S9),MAX(0,N(Deals!S9)+SheriffCostsFromBid-(R10)*(1-RTTPurchase)))))+Underwriting!$S9)/(Underwriting!$M9/12),0))</f>
        <v/>
      </c>
      <c r="U10" s="27" t="str">
        <f aca="false">IF(Underwriting!$A9="","",IFERROR(Underwriting!$Z9/(((R10)*(1+BuyerPremium)+IF(N(Deals!S9)=0,0,MIN(N(Deals!S9),MAX(0,N(Deals!S9)+SheriffCostsFromBid-(R10)*(1-RTTPurchase)))))+Underwriting!$AA9),0))</f>
        <v/>
      </c>
      <c r="V10" s="26" t="str">
        <f aca="false">IF(Underwriting!$A9="","",ROUND(V$2*$C10,-3))</f>
        <v/>
      </c>
      <c r="W10" s="26" t="str">
        <f aca="false">IF(Underwriting!$A9="","",Underwriting!$T9-((V10)*(1+BuyerPremium)+IF(N(Deals!S9)=0,0,MIN(N(Deals!S9),MAX(0,N(Deals!S9)+SheriffCostsFromBid-(V10)*(1-RTTPurchase))))))</f>
        <v/>
      </c>
      <c r="X10" s="27" t="str">
        <f aca="false">IF(Underwriting!$A9="","",IFERROR(W10/(((V10)*(1+BuyerPremium)+IF(N(Deals!S9)=0,0,MIN(N(Deals!S9),MAX(0,N(Deals!S9)+SheriffCostsFromBid-(V10)*(1-RTTPurchase)))))+Underwriting!$S9)/(Underwriting!$M9/12),0))</f>
        <v/>
      </c>
      <c r="Y10" s="27" t="str">
        <f aca="false">IF(Underwriting!$A9="","",IFERROR(Underwriting!$Z9/(((V10)*(1+BuyerPremium)+IF(N(Deals!S9)=0,0,MIN(N(Deals!S9),MAX(0,N(Deals!S9)+SheriffCostsFromBid-(V10)*(1-RTTPurchase)))))+Underwriting!$AA9),0))</f>
        <v/>
      </c>
      <c r="Z10" s="26" t="str">
        <f aca="false">IF(Underwriting!$A9="","",ROUND(Z$2*$C10,-3))</f>
        <v/>
      </c>
      <c r="AA10" s="26" t="str">
        <f aca="false">IF(Underwriting!$A9="","",Underwriting!$T9-((Z10)*(1+BuyerPremium)+IF(N(Deals!S9)=0,0,MIN(N(Deals!S9),MAX(0,N(Deals!S9)+SheriffCostsFromBid-(Z10)*(1-RTTPurchase))))))</f>
        <v/>
      </c>
      <c r="AB10" s="27" t="str">
        <f aca="false">IF(Underwriting!$A9="","",IFERROR(AA10/(((Z10)*(1+BuyerPremium)+IF(N(Deals!S9)=0,0,MIN(N(Deals!S9),MAX(0,N(Deals!S9)+SheriffCostsFromBid-(Z10)*(1-RTTPurchase)))))+Underwriting!$S9)/(Underwriting!$M9/12),0))</f>
        <v/>
      </c>
      <c r="AC10" s="27" t="str">
        <f aca="false">IF(Underwriting!$A9="","",IFERROR(Underwriting!$Z9/(((Z10)*(1+BuyerPremium)+IF(N(Deals!S9)=0,0,MIN(N(Deals!S9),MAX(0,N(Deals!S9)+SheriffCostsFromBid-(Z10)*(1-RTTPurchase)))))+Underwriting!$AA9),0))</f>
        <v/>
      </c>
      <c r="AD10" s="26" t="str">
        <f aca="false">IF(Underwriting!$A9="","",ROUND(AD$2*$C10,-3))</f>
        <v/>
      </c>
      <c r="AE10" s="26" t="str">
        <f aca="false">IF(Underwriting!$A9="","",Underwriting!$T9-((AD10)*(1+BuyerPremium)+IF(N(Deals!S9)=0,0,MIN(N(Deals!S9),MAX(0,N(Deals!S9)+SheriffCostsFromBid-(AD10)*(1-RTTPurchase))))))</f>
        <v/>
      </c>
      <c r="AF10" s="27" t="str">
        <f aca="false">IF(Underwriting!$A9="","",IFERROR(AE10/(((AD10)*(1+BuyerPremium)+IF(N(Deals!S9)=0,0,MIN(N(Deals!S9),MAX(0,N(Deals!S9)+SheriffCostsFromBid-(AD10)*(1-RTTPurchase)))))+Underwriting!$S9)/(Underwriting!$M9/12),0))</f>
        <v/>
      </c>
      <c r="AG10" s="27" t="str">
        <f aca="false">IF(Underwriting!$A9="","",IFERROR(Underwriting!$Z9/(((AD10)*(1+BuyerPremium)+IF(N(Deals!S9)=0,0,MIN(N(Deals!S9),MAX(0,N(Deals!S9)+SheriffCostsFromBid-(AD10)*(1-RTTPurchase)))))+Underwriting!$AA9),0))</f>
        <v/>
      </c>
      <c r="AH10" s="26" t="str">
        <f aca="false">IF(Underwriting!$A9="","",$E10)</f>
        <v/>
      </c>
      <c r="AI10" s="26" t="str">
        <f aca="false">IF(Underwriting!$A9="","",Underwriting!$T9-((AH10)*(1+BuyerPremium)+IF(N(Deals!S9)=0,0,MIN(N(Deals!S9),MAX(0,N(Deals!S9)+SheriffCostsFromBid-(AH10)*(1-RTTPurchase))))))</f>
        <v/>
      </c>
      <c r="AJ10" s="27" t="str">
        <f aca="false">IF(Underwriting!$A9="","",IFERROR(AI10/(((AH10)*(1+BuyerPremium)+IF(N(Deals!S9)=0,0,MIN(N(Deals!S9),MAX(0,N(Deals!S9)+SheriffCostsFromBid-(AH10)*(1-RTTPurchase)))))+Underwriting!$S9)/(Underwriting!$M9/12),0))</f>
        <v/>
      </c>
      <c r="AK10" s="27" t="str">
        <f aca="false">IF(Underwriting!$A9="","",IFERROR(Underwriting!$Z9/(((AH10)*(1+BuyerPremium)+IF(N(Deals!S9)=0,0,MIN(N(Deals!S9),MAX(0,N(Deals!S9)+SheriffCostsFromBid-(AH10)*(1-RTTPurchase)))))+Underwriting!$AA9),0))</f>
        <v/>
      </c>
    </row>
    <row r="11" customFormat="false" ht="15" hidden="false" customHeight="false" outlineLevel="0" collapsed="false">
      <c r="A11" s="0" t="str">
        <f aca="false">Underwriting!$A10</f>
        <v/>
      </c>
      <c r="B11" s="0" t="str">
        <f aca="false">Underwriting!$B10</f>
        <v/>
      </c>
      <c r="C11" s="26" t="str">
        <f aca="false">IF(Underwriting!$A10="","",N(Deals!M10))</f>
        <v/>
      </c>
      <c r="D11" s="26" t="str">
        <f aca="false">IF(Underwriting!$A10="","",N(Deals!D10))</f>
        <v/>
      </c>
      <c r="E11" s="26" t="str">
        <f aca="false">IF(Underwriting!$A10="","",Underwriting!$D10)</f>
        <v/>
      </c>
      <c r="F11" s="26" t="str">
        <f aca="false">IF(Underwriting!$A10="","",$D11)</f>
        <v/>
      </c>
      <c r="G11" s="26" t="str">
        <f aca="false">IF(Underwriting!$A10="","",Underwriting!$T10-((F11)*(1+BuyerPremium)+IF(N(Deals!S10)=0,0,MIN(N(Deals!S10),MAX(0,N(Deals!S10)+SheriffCostsFromBid-(F11)*(1-RTTPurchase))))))</f>
        <v/>
      </c>
      <c r="H11" s="27" t="str">
        <f aca="false">IF(Underwriting!$A10="","",IFERROR(G11/(((F11)*(1+BuyerPremium)+IF(N(Deals!S10)=0,0,MIN(N(Deals!S10),MAX(0,N(Deals!S10)+SheriffCostsFromBid-(F11)*(1-RTTPurchase)))))+Underwriting!$S10)/(Underwriting!$M10/12),0))</f>
        <v/>
      </c>
      <c r="I11" s="27" t="str">
        <f aca="false">IF(Underwriting!$A10="","",IFERROR(Underwriting!$Z10/(((F11)*(1+BuyerPremium)+IF(N(Deals!S10)=0,0,MIN(N(Deals!S10),MAX(0,N(Deals!S10)+SheriffCostsFromBid-(F11)*(1-RTTPurchase)))))+Underwriting!$AA10),0))</f>
        <v/>
      </c>
      <c r="J11" s="26" t="str">
        <f aca="false">IF(Underwriting!$A10="","",ROUND(J$2*$C11,-3))</f>
        <v/>
      </c>
      <c r="K11" s="26" t="str">
        <f aca="false">IF(Underwriting!$A10="","",Underwriting!$T10-((J11)*(1+BuyerPremium)+IF(N(Deals!S10)=0,0,MIN(N(Deals!S10),MAX(0,N(Deals!S10)+SheriffCostsFromBid-(J11)*(1-RTTPurchase))))))</f>
        <v/>
      </c>
      <c r="L11" s="27" t="str">
        <f aca="false">IF(Underwriting!$A10="","",IFERROR(K11/(((J11)*(1+BuyerPremium)+IF(N(Deals!S10)=0,0,MIN(N(Deals!S10),MAX(0,N(Deals!S10)+SheriffCostsFromBid-(J11)*(1-RTTPurchase)))))+Underwriting!$S10)/(Underwriting!$M10/12),0))</f>
        <v/>
      </c>
      <c r="M11" s="27" t="str">
        <f aca="false">IF(Underwriting!$A10="","",IFERROR(Underwriting!$Z10/(((J11)*(1+BuyerPremium)+IF(N(Deals!S10)=0,0,MIN(N(Deals!S10),MAX(0,N(Deals!S10)+SheriffCostsFromBid-(J11)*(1-RTTPurchase)))))+Underwriting!$AA10),0))</f>
        <v/>
      </c>
      <c r="N11" s="26" t="str">
        <f aca="false">IF(Underwriting!$A10="","",ROUND(N$2*$C11,-3))</f>
        <v/>
      </c>
      <c r="O11" s="26" t="str">
        <f aca="false">IF(Underwriting!$A10="","",Underwriting!$T10-((N11)*(1+BuyerPremium)+IF(N(Deals!S10)=0,0,MIN(N(Deals!S10),MAX(0,N(Deals!S10)+SheriffCostsFromBid-(N11)*(1-RTTPurchase))))))</f>
        <v/>
      </c>
      <c r="P11" s="27" t="str">
        <f aca="false">IF(Underwriting!$A10="","",IFERROR(O11/(((N11)*(1+BuyerPremium)+IF(N(Deals!S10)=0,0,MIN(N(Deals!S10),MAX(0,N(Deals!S10)+SheriffCostsFromBid-(N11)*(1-RTTPurchase)))))+Underwriting!$S10)/(Underwriting!$M10/12),0))</f>
        <v/>
      </c>
      <c r="Q11" s="27" t="str">
        <f aca="false">IF(Underwriting!$A10="","",IFERROR(Underwriting!$Z10/(((N11)*(1+BuyerPremium)+IF(N(Deals!S10)=0,0,MIN(N(Deals!S10),MAX(0,N(Deals!S10)+SheriffCostsFromBid-(N11)*(1-RTTPurchase)))))+Underwriting!$AA10),0))</f>
        <v/>
      </c>
      <c r="R11" s="26" t="str">
        <f aca="false">IF(Underwriting!$A10="","",ROUND(R$2*$C11,-3))</f>
        <v/>
      </c>
      <c r="S11" s="26" t="str">
        <f aca="false">IF(Underwriting!$A10="","",Underwriting!$T10-((R11)*(1+BuyerPremium)+IF(N(Deals!S10)=0,0,MIN(N(Deals!S10),MAX(0,N(Deals!S10)+SheriffCostsFromBid-(R11)*(1-RTTPurchase))))))</f>
        <v/>
      </c>
      <c r="T11" s="27" t="str">
        <f aca="false">IF(Underwriting!$A10="","",IFERROR(S11/(((R11)*(1+BuyerPremium)+IF(N(Deals!S10)=0,0,MIN(N(Deals!S10),MAX(0,N(Deals!S10)+SheriffCostsFromBid-(R11)*(1-RTTPurchase)))))+Underwriting!$S10)/(Underwriting!$M10/12),0))</f>
        <v/>
      </c>
      <c r="U11" s="27" t="str">
        <f aca="false">IF(Underwriting!$A10="","",IFERROR(Underwriting!$Z10/(((R11)*(1+BuyerPremium)+IF(N(Deals!S10)=0,0,MIN(N(Deals!S10),MAX(0,N(Deals!S10)+SheriffCostsFromBid-(R11)*(1-RTTPurchase)))))+Underwriting!$AA10),0))</f>
        <v/>
      </c>
      <c r="V11" s="26" t="str">
        <f aca="false">IF(Underwriting!$A10="","",ROUND(V$2*$C11,-3))</f>
        <v/>
      </c>
      <c r="W11" s="26" t="str">
        <f aca="false">IF(Underwriting!$A10="","",Underwriting!$T10-((V11)*(1+BuyerPremium)+IF(N(Deals!S10)=0,0,MIN(N(Deals!S10),MAX(0,N(Deals!S10)+SheriffCostsFromBid-(V11)*(1-RTTPurchase))))))</f>
        <v/>
      </c>
      <c r="X11" s="27" t="str">
        <f aca="false">IF(Underwriting!$A10="","",IFERROR(W11/(((V11)*(1+BuyerPremium)+IF(N(Deals!S10)=0,0,MIN(N(Deals!S10),MAX(0,N(Deals!S10)+SheriffCostsFromBid-(V11)*(1-RTTPurchase)))))+Underwriting!$S10)/(Underwriting!$M10/12),0))</f>
        <v/>
      </c>
      <c r="Y11" s="27" t="str">
        <f aca="false">IF(Underwriting!$A10="","",IFERROR(Underwriting!$Z10/(((V11)*(1+BuyerPremium)+IF(N(Deals!S10)=0,0,MIN(N(Deals!S10),MAX(0,N(Deals!S10)+SheriffCostsFromBid-(V11)*(1-RTTPurchase)))))+Underwriting!$AA10),0))</f>
        <v/>
      </c>
      <c r="Z11" s="26" t="str">
        <f aca="false">IF(Underwriting!$A10="","",ROUND(Z$2*$C11,-3))</f>
        <v/>
      </c>
      <c r="AA11" s="26" t="str">
        <f aca="false">IF(Underwriting!$A10="","",Underwriting!$T10-((Z11)*(1+BuyerPremium)+IF(N(Deals!S10)=0,0,MIN(N(Deals!S10),MAX(0,N(Deals!S10)+SheriffCostsFromBid-(Z11)*(1-RTTPurchase))))))</f>
        <v/>
      </c>
      <c r="AB11" s="27" t="str">
        <f aca="false">IF(Underwriting!$A10="","",IFERROR(AA11/(((Z11)*(1+BuyerPremium)+IF(N(Deals!S10)=0,0,MIN(N(Deals!S10),MAX(0,N(Deals!S10)+SheriffCostsFromBid-(Z11)*(1-RTTPurchase)))))+Underwriting!$S10)/(Underwriting!$M10/12),0))</f>
        <v/>
      </c>
      <c r="AC11" s="27" t="str">
        <f aca="false">IF(Underwriting!$A10="","",IFERROR(Underwriting!$Z10/(((Z11)*(1+BuyerPremium)+IF(N(Deals!S10)=0,0,MIN(N(Deals!S10),MAX(0,N(Deals!S10)+SheriffCostsFromBid-(Z11)*(1-RTTPurchase)))))+Underwriting!$AA10),0))</f>
        <v/>
      </c>
      <c r="AD11" s="26" t="str">
        <f aca="false">IF(Underwriting!$A10="","",ROUND(AD$2*$C11,-3))</f>
        <v/>
      </c>
      <c r="AE11" s="26" t="str">
        <f aca="false">IF(Underwriting!$A10="","",Underwriting!$T10-((AD11)*(1+BuyerPremium)+IF(N(Deals!S10)=0,0,MIN(N(Deals!S10),MAX(0,N(Deals!S10)+SheriffCostsFromBid-(AD11)*(1-RTTPurchase))))))</f>
        <v/>
      </c>
      <c r="AF11" s="27" t="str">
        <f aca="false">IF(Underwriting!$A10="","",IFERROR(AE11/(((AD11)*(1+BuyerPremium)+IF(N(Deals!S10)=0,0,MIN(N(Deals!S10),MAX(0,N(Deals!S10)+SheriffCostsFromBid-(AD11)*(1-RTTPurchase)))))+Underwriting!$S10)/(Underwriting!$M10/12),0))</f>
        <v/>
      </c>
      <c r="AG11" s="27" t="str">
        <f aca="false">IF(Underwriting!$A10="","",IFERROR(Underwriting!$Z10/(((AD11)*(1+BuyerPremium)+IF(N(Deals!S10)=0,0,MIN(N(Deals!S10),MAX(0,N(Deals!S10)+SheriffCostsFromBid-(AD11)*(1-RTTPurchase)))))+Underwriting!$AA10),0))</f>
        <v/>
      </c>
      <c r="AH11" s="26" t="str">
        <f aca="false">IF(Underwriting!$A10="","",$E11)</f>
        <v/>
      </c>
      <c r="AI11" s="26" t="str">
        <f aca="false">IF(Underwriting!$A10="","",Underwriting!$T10-((AH11)*(1+BuyerPremium)+IF(N(Deals!S10)=0,0,MIN(N(Deals!S10),MAX(0,N(Deals!S10)+SheriffCostsFromBid-(AH11)*(1-RTTPurchase))))))</f>
        <v/>
      </c>
      <c r="AJ11" s="27" t="str">
        <f aca="false">IF(Underwriting!$A10="","",IFERROR(AI11/(((AH11)*(1+BuyerPremium)+IF(N(Deals!S10)=0,0,MIN(N(Deals!S10),MAX(0,N(Deals!S10)+SheriffCostsFromBid-(AH11)*(1-RTTPurchase)))))+Underwriting!$S10)/(Underwriting!$M10/12),0))</f>
        <v/>
      </c>
      <c r="AK11" s="27" t="str">
        <f aca="false">IF(Underwriting!$A10="","",IFERROR(Underwriting!$Z10/(((AH11)*(1+BuyerPremium)+IF(N(Deals!S10)=0,0,MIN(N(Deals!S10),MAX(0,N(Deals!S10)+SheriffCostsFromBid-(AH11)*(1-RTTPurchase)))))+Underwriting!$AA10),0))</f>
        <v/>
      </c>
    </row>
    <row r="12" customFormat="false" ht="15" hidden="false" customHeight="false" outlineLevel="0" collapsed="false">
      <c r="A12" s="0" t="str">
        <f aca="false">Underwriting!$A11</f>
        <v/>
      </c>
      <c r="B12" s="0" t="str">
        <f aca="false">Underwriting!$B11</f>
        <v/>
      </c>
      <c r="C12" s="26" t="str">
        <f aca="false">IF(Underwriting!$A11="","",N(Deals!M11))</f>
        <v/>
      </c>
      <c r="D12" s="26" t="str">
        <f aca="false">IF(Underwriting!$A11="","",N(Deals!D11))</f>
        <v/>
      </c>
      <c r="E12" s="26" t="str">
        <f aca="false">IF(Underwriting!$A11="","",Underwriting!$D11)</f>
        <v/>
      </c>
      <c r="F12" s="26" t="str">
        <f aca="false">IF(Underwriting!$A11="","",$D12)</f>
        <v/>
      </c>
      <c r="G12" s="26" t="str">
        <f aca="false">IF(Underwriting!$A11="","",Underwriting!$T11-((F12)*(1+BuyerPremium)+IF(N(Deals!S11)=0,0,MIN(N(Deals!S11),MAX(0,N(Deals!S11)+SheriffCostsFromBid-(F12)*(1-RTTPurchase))))))</f>
        <v/>
      </c>
      <c r="H12" s="27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27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26" t="str">
        <f aca="false">IF(Underwriting!$A11="","",ROUND(J$2*$C12,-3))</f>
        <v/>
      </c>
      <c r="K12" s="26" t="str">
        <f aca="false">IF(Underwriting!$A11="","",Underwriting!$T11-((J12)*(1+BuyerPremium)+IF(N(Deals!S11)=0,0,MIN(N(Deals!S11),MAX(0,N(Deals!S11)+SheriffCostsFromBid-(J12)*(1-RTTPurchase))))))</f>
        <v/>
      </c>
      <c r="L12" s="27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27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26" t="str">
        <f aca="false">IF(Underwriting!$A11="","",ROUND(N$2*$C12,-3))</f>
        <v/>
      </c>
      <c r="O12" s="26" t="str">
        <f aca="false">IF(Underwriting!$A11="","",Underwriting!$T11-((N12)*(1+BuyerPremium)+IF(N(Deals!S11)=0,0,MIN(N(Deals!S11),MAX(0,N(Deals!S11)+SheriffCostsFromBid-(N12)*(1-RTTPurchase))))))</f>
        <v/>
      </c>
      <c r="P12" s="27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27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26" t="str">
        <f aca="false">IF(Underwriting!$A11="","",ROUND(R$2*$C12,-3))</f>
        <v/>
      </c>
      <c r="S12" s="26" t="str">
        <f aca="false">IF(Underwriting!$A11="","",Underwriting!$T11-((R12)*(1+BuyerPremium)+IF(N(Deals!S11)=0,0,MIN(N(Deals!S11),MAX(0,N(Deals!S11)+SheriffCostsFromBid-(R12)*(1-RTTPurchase))))))</f>
        <v/>
      </c>
      <c r="T12" s="27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27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26" t="str">
        <f aca="false">IF(Underwriting!$A11="","",ROUND(V$2*$C12,-3))</f>
        <v/>
      </c>
      <c r="W12" s="26" t="str">
        <f aca="false">IF(Underwriting!$A11="","",Underwriting!$T11-((V12)*(1+BuyerPremium)+IF(N(Deals!S11)=0,0,MIN(N(Deals!S11),MAX(0,N(Deals!S11)+SheriffCostsFromBid-(V12)*(1-RTTPurchase))))))</f>
        <v/>
      </c>
      <c r="X12" s="27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27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26" t="str">
        <f aca="false">IF(Underwriting!$A11="","",ROUND(Z$2*$C12,-3))</f>
        <v/>
      </c>
      <c r="AA12" s="26" t="str">
        <f aca="false">IF(Underwriting!$A11="","",Underwriting!$T11-((Z12)*(1+BuyerPremium)+IF(N(Deals!S11)=0,0,MIN(N(Deals!S11),MAX(0,N(Deals!S11)+SheriffCostsFromBid-(Z12)*(1-RTTPurchase))))))</f>
        <v/>
      </c>
      <c r="AB12" s="27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27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26" t="str">
        <f aca="false">IF(Underwriting!$A11="","",ROUND(AD$2*$C12,-3))</f>
        <v/>
      </c>
      <c r="AE12" s="26" t="str">
        <f aca="false">IF(Underwriting!$A11="","",Underwriting!$T11-((AD12)*(1+BuyerPremium)+IF(N(Deals!S11)=0,0,MIN(N(Deals!S11),MAX(0,N(Deals!S11)+SheriffCostsFromBid-(AD12)*(1-RTTPurchase))))))</f>
        <v/>
      </c>
      <c r="AF12" s="27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27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26" t="str">
        <f aca="false">IF(Underwriting!$A11="","",$E12)</f>
        <v/>
      </c>
      <c r="AI12" s="26" t="str">
        <f aca="false">IF(Underwriting!$A11="","",Underwriting!$T11-((AH12)*(1+BuyerPremium)+IF(N(Deals!S11)=0,0,MIN(N(Deals!S11),MAX(0,N(Deals!S11)+SheriffCostsFromBid-(AH12)*(1-RTTPurchase))))))</f>
        <v/>
      </c>
      <c r="AJ12" s="27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27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false" outlineLevel="0" collapsed="false">
      <c r="A13" s="0" t="str">
        <f aca="false">Underwriting!$A12</f>
        <v/>
      </c>
      <c r="B13" s="0" t="str">
        <f aca="false">Underwriting!$B12</f>
        <v/>
      </c>
      <c r="C13" s="26" t="str">
        <f aca="false">IF(Underwriting!$A12="","",N(Deals!M12))</f>
        <v/>
      </c>
      <c r="D13" s="26" t="str">
        <f aca="false">IF(Underwriting!$A12="","",N(Deals!D12))</f>
        <v/>
      </c>
      <c r="E13" s="26" t="str">
        <f aca="false">IF(Underwriting!$A12="","",Underwriting!$D12)</f>
        <v/>
      </c>
      <c r="F13" s="26" t="str">
        <f aca="false">IF(Underwriting!$A12="","",$D13)</f>
        <v/>
      </c>
      <c r="G13" s="26" t="str">
        <f aca="false">IF(Underwriting!$A12="","",Underwriting!$T12-((F13)*(1+BuyerPremium)+IF(N(Deals!S12)=0,0,MIN(N(Deals!S12),MAX(0,N(Deals!S12)+SheriffCostsFromBid-(F13)*(1-RTTPurchase))))))</f>
        <v/>
      </c>
      <c r="H13" s="27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27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26" t="str">
        <f aca="false">IF(Underwriting!$A12="","",ROUND(J$2*$C13,-3))</f>
        <v/>
      </c>
      <c r="K13" s="26" t="str">
        <f aca="false">IF(Underwriting!$A12="","",Underwriting!$T12-((J13)*(1+BuyerPremium)+IF(N(Deals!S12)=0,0,MIN(N(Deals!S12),MAX(0,N(Deals!S12)+SheriffCostsFromBid-(J13)*(1-RTTPurchase))))))</f>
        <v/>
      </c>
      <c r="L13" s="27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27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26" t="str">
        <f aca="false">IF(Underwriting!$A12="","",ROUND(N$2*$C13,-3))</f>
        <v/>
      </c>
      <c r="O13" s="26" t="str">
        <f aca="false">IF(Underwriting!$A12="","",Underwriting!$T12-((N13)*(1+BuyerPremium)+IF(N(Deals!S12)=0,0,MIN(N(Deals!S12),MAX(0,N(Deals!S12)+SheriffCostsFromBid-(N13)*(1-RTTPurchase))))))</f>
        <v/>
      </c>
      <c r="P13" s="27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27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26" t="str">
        <f aca="false">IF(Underwriting!$A12="","",ROUND(R$2*$C13,-3))</f>
        <v/>
      </c>
      <c r="S13" s="26" t="str">
        <f aca="false">IF(Underwriting!$A12="","",Underwriting!$T12-((R13)*(1+BuyerPremium)+IF(N(Deals!S12)=0,0,MIN(N(Deals!S12),MAX(0,N(Deals!S12)+SheriffCostsFromBid-(R13)*(1-RTTPurchase))))))</f>
        <v/>
      </c>
      <c r="T13" s="27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27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26" t="str">
        <f aca="false">IF(Underwriting!$A12="","",ROUND(V$2*$C13,-3))</f>
        <v/>
      </c>
      <c r="W13" s="26" t="str">
        <f aca="false">IF(Underwriting!$A12="","",Underwriting!$T12-((V13)*(1+BuyerPremium)+IF(N(Deals!S12)=0,0,MIN(N(Deals!S12),MAX(0,N(Deals!S12)+SheriffCostsFromBid-(V13)*(1-RTTPurchase))))))</f>
        <v/>
      </c>
      <c r="X13" s="27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27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26" t="str">
        <f aca="false">IF(Underwriting!$A12="","",ROUND(Z$2*$C13,-3))</f>
        <v/>
      </c>
      <c r="AA13" s="26" t="str">
        <f aca="false">IF(Underwriting!$A12="","",Underwriting!$T12-((Z13)*(1+BuyerPremium)+IF(N(Deals!S12)=0,0,MIN(N(Deals!S12),MAX(0,N(Deals!S12)+SheriffCostsFromBid-(Z13)*(1-RTTPurchase))))))</f>
        <v/>
      </c>
      <c r="AB13" s="27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27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26" t="str">
        <f aca="false">IF(Underwriting!$A12="","",ROUND(AD$2*$C13,-3))</f>
        <v/>
      </c>
      <c r="AE13" s="26" t="str">
        <f aca="false">IF(Underwriting!$A12="","",Underwriting!$T12-((AD13)*(1+BuyerPremium)+IF(N(Deals!S12)=0,0,MIN(N(Deals!S12),MAX(0,N(Deals!S12)+SheriffCostsFromBid-(AD13)*(1-RTTPurchase))))))</f>
        <v/>
      </c>
      <c r="AF13" s="27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27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26" t="str">
        <f aca="false">IF(Underwriting!$A12="","",$E13)</f>
        <v/>
      </c>
      <c r="AI13" s="26" t="str">
        <f aca="false">IF(Underwriting!$A12="","",Underwriting!$T12-((AH13)*(1+BuyerPremium)+IF(N(Deals!S12)=0,0,MIN(N(Deals!S12),MAX(0,N(Deals!S12)+SheriffCostsFromBid-(AH13)*(1-RTTPurchase))))))</f>
        <v/>
      </c>
      <c r="AJ13" s="27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27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false" outlineLevel="0" collapsed="false">
      <c r="A14" s="0" t="str">
        <f aca="false">Underwriting!$A13</f>
        <v/>
      </c>
      <c r="B14" s="0" t="str">
        <f aca="false">Underwriting!$B13</f>
        <v/>
      </c>
      <c r="C14" s="26" t="str">
        <f aca="false">IF(Underwriting!$A13="","",N(Deals!M13))</f>
        <v/>
      </c>
      <c r="D14" s="26" t="str">
        <f aca="false">IF(Underwriting!$A13="","",N(Deals!D13))</f>
        <v/>
      </c>
      <c r="E14" s="26" t="str">
        <f aca="false">IF(Underwriting!$A13="","",Underwriting!$D13)</f>
        <v/>
      </c>
      <c r="F14" s="26" t="str">
        <f aca="false">IF(Underwriting!$A13="","",$D14)</f>
        <v/>
      </c>
      <c r="G14" s="26" t="str">
        <f aca="false">IF(Underwriting!$A13="","",Underwriting!$T13-((F14)*(1+BuyerPremium)+IF(N(Deals!S13)=0,0,MIN(N(Deals!S13),MAX(0,N(Deals!S13)+SheriffCostsFromBid-(F14)*(1-RTTPurchase))))))</f>
        <v/>
      </c>
      <c r="H14" s="27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27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26" t="str">
        <f aca="false">IF(Underwriting!$A13="","",ROUND(J$2*$C14,-3))</f>
        <v/>
      </c>
      <c r="K14" s="26" t="str">
        <f aca="false">IF(Underwriting!$A13="","",Underwriting!$T13-((J14)*(1+BuyerPremium)+IF(N(Deals!S13)=0,0,MIN(N(Deals!S13),MAX(0,N(Deals!S13)+SheriffCostsFromBid-(J14)*(1-RTTPurchase))))))</f>
        <v/>
      </c>
      <c r="L14" s="27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27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26" t="str">
        <f aca="false">IF(Underwriting!$A13="","",ROUND(N$2*$C14,-3))</f>
        <v/>
      </c>
      <c r="O14" s="26" t="str">
        <f aca="false">IF(Underwriting!$A13="","",Underwriting!$T13-((N14)*(1+BuyerPremium)+IF(N(Deals!S13)=0,0,MIN(N(Deals!S13),MAX(0,N(Deals!S13)+SheriffCostsFromBid-(N14)*(1-RTTPurchase))))))</f>
        <v/>
      </c>
      <c r="P14" s="27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27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26" t="str">
        <f aca="false">IF(Underwriting!$A13="","",ROUND(R$2*$C14,-3))</f>
        <v/>
      </c>
      <c r="S14" s="26" t="str">
        <f aca="false">IF(Underwriting!$A13="","",Underwriting!$T13-((R14)*(1+BuyerPremium)+IF(N(Deals!S13)=0,0,MIN(N(Deals!S13),MAX(0,N(Deals!S13)+SheriffCostsFromBid-(R14)*(1-RTTPurchase))))))</f>
        <v/>
      </c>
      <c r="T14" s="27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27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26" t="str">
        <f aca="false">IF(Underwriting!$A13="","",ROUND(V$2*$C14,-3))</f>
        <v/>
      </c>
      <c r="W14" s="26" t="str">
        <f aca="false">IF(Underwriting!$A13="","",Underwriting!$T13-((V14)*(1+BuyerPremium)+IF(N(Deals!S13)=0,0,MIN(N(Deals!S13),MAX(0,N(Deals!S13)+SheriffCostsFromBid-(V14)*(1-RTTPurchase))))))</f>
        <v/>
      </c>
      <c r="X14" s="27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27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26" t="str">
        <f aca="false">IF(Underwriting!$A13="","",ROUND(Z$2*$C14,-3))</f>
        <v/>
      </c>
      <c r="AA14" s="26" t="str">
        <f aca="false">IF(Underwriting!$A13="","",Underwriting!$T13-((Z14)*(1+BuyerPremium)+IF(N(Deals!S13)=0,0,MIN(N(Deals!S13),MAX(0,N(Deals!S13)+SheriffCostsFromBid-(Z14)*(1-RTTPurchase))))))</f>
        <v/>
      </c>
      <c r="AB14" s="27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27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26" t="str">
        <f aca="false">IF(Underwriting!$A13="","",ROUND(AD$2*$C14,-3))</f>
        <v/>
      </c>
      <c r="AE14" s="26" t="str">
        <f aca="false">IF(Underwriting!$A13="","",Underwriting!$T13-((AD14)*(1+BuyerPremium)+IF(N(Deals!S13)=0,0,MIN(N(Deals!S13),MAX(0,N(Deals!S13)+SheriffCostsFromBid-(AD14)*(1-RTTPurchase))))))</f>
        <v/>
      </c>
      <c r="AF14" s="27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27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26" t="str">
        <f aca="false">IF(Underwriting!$A13="","",$E14)</f>
        <v/>
      </c>
      <c r="AI14" s="26" t="str">
        <f aca="false">IF(Underwriting!$A13="","",Underwriting!$T13-((AH14)*(1+BuyerPremium)+IF(N(Deals!S13)=0,0,MIN(N(Deals!S13),MAX(0,N(Deals!S13)+SheriffCostsFromBid-(AH14)*(1-RTTPurchase))))))</f>
        <v/>
      </c>
      <c r="AJ14" s="27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27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false" outlineLevel="0" collapsed="false">
      <c r="A15" s="0" t="str">
        <f aca="false">Underwriting!$A14</f>
        <v/>
      </c>
      <c r="B15" s="0" t="str">
        <f aca="false">Underwriting!$B14</f>
        <v/>
      </c>
      <c r="C15" s="26" t="str">
        <f aca="false">IF(Underwriting!$A14="","",N(Deals!M14))</f>
        <v/>
      </c>
      <c r="D15" s="26" t="str">
        <f aca="false">IF(Underwriting!$A14="","",N(Deals!D14))</f>
        <v/>
      </c>
      <c r="E15" s="26" t="str">
        <f aca="false">IF(Underwriting!$A14="","",Underwriting!$D14)</f>
        <v/>
      </c>
      <c r="F15" s="26" t="str">
        <f aca="false">IF(Underwriting!$A14="","",$D15)</f>
        <v/>
      </c>
      <c r="G15" s="26" t="str">
        <f aca="false">IF(Underwriting!$A14="","",Underwriting!$T14-((F15)*(1+BuyerPremium)+IF(N(Deals!S14)=0,0,MIN(N(Deals!S14),MAX(0,N(Deals!S14)+SheriffCostsFromBid-(F15)*(1-RTTPurchase))))))</f>
        <v/>
      </c>
      <c r="H15" s="27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27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26" t="str">
        <f aca="false">IF(Underwriting!$A14="","",ROUND(J$2*$C15,-3))</f>
        <v/>
      </c>
      <c r="K15" s="26" t="str">
        <f aca="false">IF(Underwriting!$A14="","",Underwriting!$T14-((J15)*(1+BuyerPremium)+IF(N(Deals!S14)=0,0,MIN(N(Deals!S14),MAX(0,N(Deals!S14)+SheriffCostsFromBid-(J15)*(1-RTTPurchase))))))</f>
        <v/>
      </c>
      <c r="L15" s="27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27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26" t="str">
        <f aca="false">IF(Underwriting!$A14="","",ROUND(N$2*$C15,-3))</f>
        <v/>
      </c>
      <c r="O15" s="26" t="str">
        <f aca="false">IF(Underwriting!$A14="","",Underwriting!$T14-((N15)*(1+BuyerPremium)+IF(N(Deals!S14)=0,0,MIN(N(Deals!S14),MAX(0,N(Deals!S14)+SheriffCostsFromBid-(N15)*(1-RTTPurchase))))))</f>
        <v/>
      </c>
      <c r="P15" s="27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27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26" t="str">
        <f aca="false">IF(Underwriting!$A14="","",ROUND(R$2*$C15,-3))</f>
        <v/>
      </c>
      <c r="S15" s="26" t="str">
        <f aca="false">IF(Underwriting!$A14="","",Underwriting!$T14-((R15)*(1+BuyerPremium)+IF(N(Deals!S14)=0,0,MIN(N(Deals!S14),MAX(0,N(Deals!S14)+SheriffCostsFromBid-(R15)*(1-RTTPurchase))))))</f>
        <v/>
      </c>
      <c r="T15" s="27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27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26" t="str">
        <f aca="false">IF(Underwriting!$A14="","",ROUND(V$2*$C15,-3))</f>
        <v/>
      </c>
      <c r="W15" s="26" t="str">
        <f aca="false">IF(Underwriting!$A14="","",Underwriting!$T14-((V15)*(1+BuyerPremium)+IF(N(Deals!S14)=0,0,MIN(N(Deals!S14),MAX(0,N(Deals!S14)+SheriffCostsFromBid-(V15)*(1-RTTPurchase))))))</f>
        <v/>
      </c>
      <c r="X15" s="27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27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26" t="str">
        <f aca="false">IF(Underwriting!$A14="","",ROUND(Z$2*$C15,-3))</f>
        <v/>
      </c>
      <c r="AA15" s="26" t="str">
        <f aca="false">IF(Underwriting!$A14="","",Underwriting!$T14-((Z15)*(1+BuyerPremium)+IF(N(Deals!S14)=0,0,MIN(N(Deals!S14),MAX(0,N(Deals!S14)+SheriffCostsFromBid-(Z15)*(1-RTTPurchase))))))</f>
        <v/>
      </c>
      <c r="AB15" s="27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27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26" t="str">
        <f aca="false">IF(Underwriting!$A14="","",ROUND(AD$2*$C15,-3))</f>
        <v/>
      </c>
      <c r="AE15" s="26" t="str">
        <f aca="false">IF(Underwriting!$A14="","",Underwriting!$T14-((AD15)*(1+BuyerPremium)+IF(N(Deals!S14)=0,0,MIN(N(Deals!S14),MAX(0,N(Deals!S14)+SheriffCostsFromBid-(AD15)*(1-RTTPurchase))))))</f>
        <v/>
      </c>
      <c r="AF15" s="27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27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26" t="str">
        <f aca="false">IF(Underwriting!$A14="","",$E15)</f>
        <v/>
      </c>
      <c r="AI15" s="26" t="str">
        <f aca="false">IF(Underwriting!$A14="","",Underwriting!$T14-((AH15)*(1+BuyerPremium)+IF(N(Deals!S14)=0,0,MIN(N(Deals!S14),MAX(0,N(Deals!S14)+SheriffCostsFromBid-(AH15)*(1-RTTPurchase))))))</f>
        <v/>
      </c>
      <c r="AJ15" s="27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27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false" outlineLevel="0" collapsed="false">
      <c r="A16" s="0" t="str">
        <f aca="false">Underwriting!$A15</f>
        <v/>
      </c>
      <c r="B16" s="0" t="str">
        <f aca="false">Underwriting!$B15</f>
        <v/>
      </c>
      <c r="C16" s="26" t="str">
        <f aca="false">IF(Underwriting!$A15="","",N(Deals!M15))</f>
        <v/>
      </c>
      <c r="D16" s="26" t="str">
        <f aca="false">IF(Underwriting!$A15="","",N(Deals!D15))</f>
        <v/>
      </c>
      <c r="E16" s="26" t="str">
        <f aca="false">IF(Underwriting!$A15="","",Underwriting!$D15)</f>
        <v/>
      </c>
      <c r="F16" s="26" t="str">
        <f aca="false">IF(Underwriting!$A15="","",$D16)</f>
        <v/>
      </c>
      <c r="G16" s="26" t="str">
        <f aca="false">IF(Underwriting!$A15="","",Underwriting!$T15-((F16)*(1+BuyerPremium)+IF(N(Deals!S15)=0,0,MIN(N(Deals!S15),MAX(0,N(Deals!S15)+SheriffCostsFromBid-(F16)*(1-RTTPurchase))))))</f>
        <v/>
      </c>
      <c r="H16" s="27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27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26" t="str">
        <f aca="false">IF(Underwriting!$A15="","",ROUND(J$2*$C16,-3))</f>
        <v/>
      </c>
      <c r="K16" s="26" t="str">
        <f aca="false">IF(Underwriting!$A15="","",Underwriting!$T15-((J16)*(1+BuyerPremium)+IF(N(Deals!S15)=0,0,MIN(N(Deals!S15),MAX(0,N(Deals!S15)+SheriffCostsFromBid-(J16)*(1-RTTPurchase))))))</f>
        <v/>
      </c>
      <c r="L16" s="27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27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26" t="str">
        <f aca="false">IF(Underwriting!$A15="","",ROUND(N$2*$C16,-3))</f>
        <v/>
      </c>
      <c r="O16" s="26" t="str">
        <f aca="false">IF(Underwriting!$A15="","",Underwriting!$T15-((N16)*(1+BuyerPremium)+IF(N(Deals!S15)=0,0,MIN(N(Deals!S15),MAX(0,N(Deals!S15)+SheriffCostsFromBid-(N16)*(1-RTTPurchase))))))</f>
        <v/>
      </c>
      <c r="P16" s="27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27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26" t="str">
        <f aca="false">IF(Underwriting!$A15="","",ROUND(R$2*$C16,-3))</f>
        <v/>
      </c>
      <c r="S16" s="26" t="str">
        <f aca="false">IF(Underwriting!$A15="","",Underwriting!$T15-((R16)*(1+BuyerPremium)+IF(N(Deals!S15)=0,0,MIN(N(Deals!S15),MAX(0,N(Deals!S15)+SheriffCostsFromBid-(R16)*(1-RTTPurchase))))))</f>
        <v/>
      </c>
      <c r="T16" s="27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27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26" t="str">
        <f aca="false">IF(Underwriting!$A15="","",ROUND(V$2*$C16,-3))</f>
        <v/>
      </c>
      <c r="W16" s="26" t="str">
        <f aca="false">IF(Underwriting!$A15="","",Underwriting!$T15-((V16)*(1+BuyerPremium)+IF(N(Deals!S15)=0,0,MIN(N(Deals!S15),MAX(0,N(Deals!S15)+SheriffCostsFromBid-(V16)*(1-RTTPurchase))))))</f>
        <v/>
      </c>
      <c r="X16" s="27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27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26" t="str">
        <f aca="false">IF(Underwriting!$A15="","",ROUND(Z$2*$C16,-3))</f>
        <v/>
      </c>
      <c r="AA16" s="26" t="str">
        <f aca="false">IF(Underwriting!$A15="","",Underwriting!$T15-((Z16)*(1+BuyerPremium)+IF(N(Deals!S15)=0,0,MIN(N(Deals!S15),MAX(0,N(Deals!S15)+SheriffCostsFromBid-(Z16)*(1-RTTPurchase))))))</f>
        <v/>
      </c>
      <c r="AB16" s="27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27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26" t="str">
        <f aca="false">IF(Underwriting!$A15="","",ROUND(AD$2*$C16,-3))</f>
        <v/>
      </c>
      <c r="AE16" s="26" t="str">
        <f aca="false">IF(Underwriting!$A15="","",Underwriting!$T15-((AD16)*(1+BuyerPremium)+IF(N(Deals!S15)=0,0,MIN(N(Deals!S15),MAX(0,N(Deals!S15)+SheriffCostsFromBid-(AD16)*(1-RTTPurchase))))))</f>
        <v/>
      </c>
      <c r="AF16" s="27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27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26" t="str">
        <f aca="false">IF(Underwriting!$A15="","",$E16)</f>
        <v/>
      </c>
      <c r="AI16" s="26" t="str">
        <f aca="false">IF(Underwriting!$A15="","",Underwriting!$T15-((AH16)*(1+BuyerPremium)+IF(N(Deals!S15)=0,0,MIN(N(Deals!S15),MAX(0,N(Deals!S15)+SheriffCostsFromBid-(AH16)*(1-RTTPurchase))))))</f>
        <v/>
      </c>
      <c r="AJ16" s="27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27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false" outlineLevel="0" collapsed="false">
      <c r="A17" s="0" t="str">
        <f aca="false">Underwriting!$A16</f>
        <v/>
      </c>
      <c r="B17" s="0" t="str">
        <f aca="false">Underwriting!$B16</f>
        <v/>
      </c>
      <c r="C17" s="26" t="str">
        <f aca="false">IF(Underwriting!$A16="","",N(Deals!M16))</f>
        <v/>
      </c>
      <c r="D17" s="26" t="str">
        <f aca="false">IF(Underwriting!$A16="","",N(Deals!D16))</f>
        <v/>
      </c>
      <c r="E17" s="26" t="str">
        <f aca="false">IF(Underwriting!$A16="","",Underwriting!$D16)</f>
        <v/>
      </c>
      <c r="F17" s="26" t="str">
        <f aca="false">IF(Underwriting!$A16="","",$D17)</f>
        <v/>
      </c>
      <c r="G17" s="26" t="str">
        <f aca="false">IF(Underwriting!$A16="","",Underwriting!$T16-((F17)*(1+BuyerPremium)+IF(N(Deals!S16)=0,0,MIN(N(Deals!S16),MAX(0,N(Deals!S16)+SheriffCostsFromBid-(F17)*(1-RTTPurchase))))))</f>
        <v/>
      </c>
      <c r="H17" s="27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27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26" t="str">
        <f aca="false">IF(Underwriting!$A16="","",ROUND(J$2*$C17,-3))</f>
        <v/>
      </c>
      <c r="K17" s="26" t="str">
        <f aca="false">IF(Underwriting!$A16="","",Underwriting!$T16-((J17)*(1+BuyerPremium)+IF(N(Deals!S16)=0,0,MIN(N(Deals!S16),MAX(0,N(Deals!S16)+SheriffCostsFromBid-(J17)*(1-RTTPurchase))))))</f>
        <v/>
      </c>
      <c r="L17" s="27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27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26" t="str">
        <f aca="false">IF(Underwriting!$A16="","",ROUND(N$2*$C17,-3))</f>
        <v/>
      </c>
      <c r="O17" s="26" t="str">
        <f aca="false">IF(Underwriting!$A16="","",Underwriting!$T16-((N17)*(1+BuyerPremium)+IF(N(Deals!S16)=0,0,MIN(N(Deals!S16),MAX(0,N(Deals!S16)+SheriffCostsFromBid-(N17)*(1-RTTPurchase))))))</f>
        <v/>
      </c>
      <c r="P17" s="27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27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26" t="str">
        <f aca="false">IF(Underwriting!$A16="","",ROUND(R$2*$C17,-3))</f>
        <v/>
      </c>
      <c r="S17" s="26" t="str">
        <f aca="false">IF(Underwriting!$A16="","",Underwriting!$T16-((R17)*(1+BuyerPremium)+IF(N(Deals!S16)=0,0,MIN(N(Deals!S16),MAX(0,N(Deals!S16)+SheriffCostsFromBid-(R17)*(1-RTTPurchase))))))</f>
        <v/>
      </c>
      <c r="T17" s="27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27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26" t="str">
        <f aca="false">IF(Underwriting!$A16="","",ROUND(V$2*$C17,-3))</f>
        <v/>
      </c>
      <c r="W17" s="26" t="str">
        <f aca="false">IF(Underwriting!$A16="","",Underwriting!$T16-((V17)*(1+BuyerPremium)+IF(N(Deals!S16)=0,0,MIN(N(Deals!S16),MAX(0,N(Deals!S16)+SheriffCostsFromBid-(V17)*(1-RTTPurchase))))))</f>
        <v/>
      </c>
      <c r="X17" s="27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27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26" t="str">
        <f aca="false">IF(Underwriting!$A16="","",ROUND(Z$2*$C17,-3))</f>
        <v/>
      </c>
      <c r="AA17" s="26" t="str">
        <f aca="false">IF(Underwriting!$A16="","",Underwriting!$T16-((Z17)*(1+BuyerPremium)+IF(N(Deals!S16)=0,0,MIN(N(Deals!S16),MAX(0,N(Deals!S16)+SheriffCostsFromBid-(Z17)*(1-RTTPurchase))))))</f>
        <v/>
      </c>
      <c r="AB17" s="27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27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26" t="str">
        <f aca="false">IF(Underwriting!$A16="","",ROUND(AD$2*$C17,-3))</f>
        <v/>
      </c>
      <c r="AE17" s="26" t="str">
        <f aca="false">IF(Underwriting!$A16="","",Underwriting!$T16-((AD17)*(1+BuyerPremium)+IF(N(Deals!S16)=0,0,MIN(N(Deals!S16),MAX(0,N(Deals!S16)+SheriffCostsFromBid-(AD17)*(1-RTTPurchase))))))</f>
        <v/>
      </c>
      <c r="AF17" s="27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27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26" t="str">
        <f aca="false">IF(Underwriting!$A16="","",$E17)</f>
        <v/>
      </c>
      <c r="AI17" s="26" t="str">
        <f aca="false">IF(Underwriting!$A16="","",Underwriting!$T16-((AH17)*(1+BuyerPremium)+IF(N(Deals!S16)=0,0,MIN(N(Deals!S16),MAX(0,N(Deals!S16)+SheriffCostsFromBid-(AH17)*(1-RTTPurchase))))))</f>
        <v/>
      </c>
      <c r="AJ17" s="27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27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false" outlineLevel="0" collapsed="false">
      <c r="A18" s="0" t="str">
        <f aca="false">Underwriting!$A17</f>
        <v/>
      </c>
      <c r="B18" s="0" t="str">
        <f aca="false">Underwriting!$B17</f>
        <v/>
      </c>
      <c r="C18" s="26" t="str">
        <f aca="false">IF(Underwriting!$A17="","",N(Deals!M17))</f>
        <v/>
      </c>
      <c r="D18" s="26" t="str">
        <f aca="false">IF(Underwriting!$A17="","",N(Deals!D17))</f>
        <v/>
      </c>
      <c r="E18" s="26" t="str">
        <f aca="false">IF(Underwriting!$A17="","",Underwriting!$D17)</f>
        <v/>
      </c>
      <c r="F18" s="26" t="str">
        <f aca="false">IF(Underwriting!$A17="","",$D18)</f>
        <v/>
      </c>
      <c r="G18" s="26" t="str">
        <f aca="false">IF(Underwriting!$A17="","",Underwriting!$T17-((F18)*(1+BuyerPremium)+IF(N(Deals!S17)=0,0,MIN(N(Deals!S17),MAX(0,N(Deals!S17)+SheriffCostsFromBid-(F18)*(1-RTTPurchase))))))</f>
        <v/>
      </c>
      <c r="H18" s="27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27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26" t="str">
        <f aca="false">IF(Underwriting!$A17="","",ROUND(J$2*$C18,-3))</f>
        <v/>
      </c>
      <c r="K18" s="26" t="str">
        <f aca="false">IF(Underwriting!$A17="","",Underwriting!$T17-((J18)*(1+BuyerPremium)+IF(N(Deals!S17)=0,0,MIN(N(Deals!S17),MAX(0,N(Deals!S17)+SheriffCostsFromBid-(J18)*(1-RTTPurchase))))))</f>
        <v/>
      </c>
      <c r="L18" s="27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27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26" t="str">
        <f aca="false">IF(Underwriting!$A17="","",ROUND(N$2*$C18,-3))</f>
        <v/>
      </c>
      <c r="O18" s="26" t="str">
        <f aca="false">IF(Underwriting!$A17="","",Underwriting!$T17-((N18)*(1+BuyerPremium)+IF(N(Deals!S17)=0,0,MIN(N(Deals!S17),MAX(0,N(Deals!S17)+SheriffCostsFromBid-(N18)*(1-RTTPurchase))))))</f>
        <v/>
      </c>
      <c r="P18" s="27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27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26" t="str">
        <f aca="false">IF(Underwriting!$A17="","",ROUND(R$2*$C18,-3))</f>
        <v/>
      </c>
      <c r="S18" s="26" t="str">
        <f aca="false">IF(Underwriting!$A17="","",Underwriting!$T17-((R18)*(1+BuyerPremium)+IF(N(Deals!S17)=0,0,MIN(N(Deals!S17),MAX(0,N(Deals!S17)+SheriffCostsFromBid-(R18)*(1-RTTPurchase))))))</f>
        <v/>
      </c>
      <c r="T18" s="27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27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26" t="str">
        <f aca="false">IF(Underwriting!$A17="","",ROUND(V$2*$C18,-3))</f>
        <v/>
      </c>
      <c r="W18" s="26" t="str">
        <f aca="false">IF(Underwriting!$A17="","",Underwriting!$T17-((V18)*(1+BuyerPremium)+IF(N(Deals!S17)=0,0,MIN(N(Deals!S17),MAX(0,N(Deals!S17)+SheriffCostsFromBid-(V18)*(1-RTTPurchase))))))</f>
        <v/>
      </c>
      <c r="X18" s="27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27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26" t="str">
        <f aca="false">IF(Underwriting!$A17="","",ROUND(Z$2*$C18,-3))</f>
        <v/>
      </c>
      <c r="AA18" s="26" t="str">
        <f aca="false">IF(Underwriting!$A17="","",Underwriting!$T17-((Z18)*(1+BuyerPremium)+IF(N(Deals!S17)=0,0,MIN(N(Deals!S17),MAX(0,N(Deals!S17)+SheriffCostsFromBid-(Z18)*(1-RTTPurchase))))))</f>
        <v/>
      </c>
      <c r="AB18" s="27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27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26" t="str">
        <f aca="false">IF(Underwriting!$A17="","",ROUND(AD$2*$C18,-3))</f>
        <v/>
      </c>
      <c r="AE18" s="26" t="str">
        <f aca="false">IF(Underwriting!$A17="","",Underwriting!$T17-((AD18)*(1+BuyerPremium)+IF(N(Deals!S17)=0,0,MIN(N(Deals!S17),MAX(0,N(Deals!S17)+SheriffCostsFromBid-(AD18)*(1-RTTPurchase))))))</f>
        <v/>
      </c>
      <c r="AF18" s="27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27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26" t="str">
        <f aca="false">IF(Underwriting!$A17="","",$E18)</f>
        <v/>
      </c>
      <c r="AI18" s="26" t="str">
        <f aca="false">IF(Underwriting!$A17="","",Underwriting!$T17-((AH18)*(1+BuyerPremium)+IF(N(Deals!S17)=0,0,MIN(N(Deals!S17),MAX(0,N(Deals!S17)+SheriffCostsFromBid-(AH18)*(1-RTTPurchase))))))</f>
        <v/>
      </c>
      <c r="AJ18" s="27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27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false" outlineLevel="0" collapsed="false">
      <c r="A19" s="0" t="str">
        <f aca="false">Underwriting!$A18</f>
        <v/>
      </c>
      <c r="B19" s="0" t="str">
        <f aca="false">Underwriting!$B18</f>
        <v/>
      </c>
      <c r="C19" s="26" t="str">
        <f aca="false">IF(Underwriting!$A18="","",N(Deals!M18))</f>
        <v/>
      </c>
      <c r="D19" s="26" t="str">
        <f aca="false">IF(Underwriting!$A18="","",N(Deals!D18))</f>
        <v/>
      </c>
      <c r="E19" s="26" t="str">
        <f aca="false">IF(Underwriting!$A18="","",Underwriting!$D18)</f>
        <v/>
      </c>
      <c r="F19" s="26" t="str">
        <f aca="false">IF(Underwriting!$A18="","",$D19)</f>
        <v/>
      </c>
      <c r="G19" s="26" t="str">
        <f aca="false">IF(Underwriting!$A18="","",Underwriting!$T18-((F19)*(1+BuyerPremium)+IF(N(Deals!S18)=0,0,MIN(N(Deals!S18),MAX(0,N(Deals!S18)+SheriffCostsFromBid-(F19)*(1-RTTPurchase))))))</f>
        <v/>
      </c>
      <c r="H19" s="27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27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26" t="str">
        <f aca="false">IF(Underwriting!$A18="","",ROUND(J$2*$C19,-3))</f>
        <v/>
      </c>
      <c r="K19" s="26" t="str">
        <f aca="false">IF(Underwriting!$A18="","",Underwriting!$T18-((J19)*(1+BuyerPremium)+IF(N(Deals!S18)=0,0,MIN(N(Deals!S18),MAX(0,N(Deals!S18)+SheriffCostsFromBid-(J19)*(1-RTTPurchase))))))</f>
        <v/>
      </c>
      <c r="L19" s="27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27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26" t="str">
        <f aca="false">IF(Underwriting!$A18="","",ROUND(N$2*$C19,-3))</f>
        <v/>
      </c>
      <c r="O19" s="26" t="str">
        <f aca="false">IF(Underwriting!$A18="","",Underwriting!$T18-((N19)*(1+BuyerPremium)+IF(N(Deals!S18)=0,0,MIN(N(Deals!S18),MAX(0,N(Deals!S18)+SheriffCostsFromBid-(N19)*(1-RTTPurchase))))))</f>
        <v/>
      </c>
      <c r="P19" s="27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27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26" t="str">
        <f aca="false">IF(Underwriting!$A18="","",ROUND(R$2*$C19,-3))</f>
        <v/>
      </c>
      <c r="S19" s="26" t="str">
        <f aca="false">IF(Underwriting!$A18="","",Underwriting!$T18-((R19)*(1+BuyerPremium)+IF(N(Deals!S18)=0,0,MIN(N(Deals!S18),MAX(0,N(Deals!S18)+SheriffCostsFromBid-(R19)*(1-RTTPurchase))))))</f>
        <v/>
      </c>
      <c r="T19" s="27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27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26" t="str">
        <f aca="false">IF(Underwriting!$A18="","",ROUND(V$2*$C19,-3))</f>
        <v/>
      </c>
      <c r="W19" s="26" t="str">
        <f aca="false">IF(Underwriting!$A18="","",Underwriting!$T18-((V19)*(1+BuyerPremium)+IF(N(Deals!S18)=0,0,MIN(N(Deals!S18),MAX(0,N(Deals!S18)+SheriffCostsFromBid-(V19)*(1-RTTPurchase))))))</f>
        <v/>
      </c>
      <c r="X19" s="27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27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26" t="str">
        <f aca="false">IF(Underwriting!$A18="","",ROUND(Z$2*$C19,-3))</f>
        <v/>
      </c>
      <c r="AA19" s="26" t="str">
        <f aca="false">IF(Underwriting!$A18="","",Underwriting!$T18-((Z19)*(1+BuyerPremium)+IF(N(Deals!S18)=0,0,MIN(N(Deals!S18),MAX(0,N(Deals!S18)+SheriffCostsFromBid-(Z19)*(1-RTTPurchase))))))</f>
        <v/>
      </c>
      <c r="AB19" s="27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27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26" t="str">
        <f aca="false">IF(Underwriting!$A18="","",ROUND(AD$2*$C19,-3))</f>
        <v/>
      </c>
      <c r="AE19" s="26" t="str">
        <f aca="false">IF(Underwriting!$A18="","",Underwriting!$T18-((AD19)*(1+BuyerPremium)+IF(N(Deals!S18)=0,0,MIN(N(Deals!S18),MAX(0,N(Deals!S18)+SheriffCostsFromBid-(AD19)*(1-RTTPurchase))))))</f>
        <v/>
      </c>
      <c r="AF19" s="27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27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26" t="str">
        <f aca="false">IF(Underwriting!$A18="","",$E19)</f>
        <v/>
      </c>
      <c r="AI19" s="26" t="str">
        <f aca="false">IF(Underwriting!$A18="","",Underwriting!$T18-((AH19)*(1+BuyerPremium)+IF(N(Deals!S18)=0,0,MIN(N(Deals!S18),MAX(0,N(Deals!S18)+SheriffCostsFromBid-(AH19)*(1-RTTPurchase))))))</f>
        <v/>
      </c>
      <c r="AJ19" s="27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27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false" outlineLevel="0" collapsed="false">
      <c r="A20" s="0" t="str">
        <f aca="false">Underwriting!$A19</f>
        <v/>
      </c>
      <c r="B20" s="0" t="str">
        <f aca="false">Underwriting!$B19</f>
        <v/>
      </c>
      <c r="C20" s="26" t="str">
        <f aca="false">IF(Underwriting!$A19="","",N(Deals!M19))</f>
        <v/>
      </c>
      <c r="D20" s="26" t="str">
        <f aca="false">IF(Underwriting!$A19="","",N(Deals!D19))</f>
        <v/>
      </c>
      <c r="E20" s="26" t="str">
        <f aca="false">IF(Underwriting!$A19="","",Underwriting!$D19)</f>
        <v/>
      </c>
      <c r="F20" s="26" t="str">
        <f aca="false">IF(Underwriting!$A19="","",$D20)</f>
        <v/>
      </c>
      <c r="G20" s="26" t="str">
        <f aca="false">IF(Underwriting!$A19="","",Underwriting!$T19-((F20)*(1+BuyerPremium)+IF(N(Deals!S19)=0,0,MIN(N(Deals!S19),MAX(0,N(Deals!S19)+SheriffCostsFromBid-(F20)*(1-RTTPurchase))))))</f>
        <v/>
      </c>
      <c r="H20" s="27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27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26" t="str">
        <f aca="false">IF(Underwriting!$A19="","",ROUND(J$2*$C20,-3))</f>
        <v/>
      </c>
      <c r="K20" s="26" t="str">
        <f aca="false">IF(Underwriting!$A19="","",Underwriting!$T19-((J20)*(1+BuyerPremium)+IF(N(Deals!S19)=0,0,MIN(N(Deals!S19),MAX(0,N(Deals!S19)+SheriffCostsFromBid-(J20)*(1-RTTPurchase))))))</f>
        <v/>
      </c>
      <c r="L20" s="27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27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26" t="str">
        <f aca="false">IF(Underwriting!$A19="","",ROUND(N$2*$C20,-3))</f>
        <v/>
      </c>
      <c r="O20" s="26" t="str">
        <f aca="false">IF(Underwriting!$A19="","",Underwriting!$T19-((N20)*(1+BuyerPremium)+IF(N(Deals!S19)=0,0,MIN(N(Deals!S19),MAX(0,N(Deals!S19)+SheriffCostsFromBid-(N20)*(1-RTTPurchase))))))</f>
        <v/>
      </c>
      <c r="P20" s="27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27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26" t="str">
        <f aca="false">IF(Underwriting!$A19="","",ROUND(R$2*$C20,-3))</f>
        <v/>
      </c>
      <c r="S20" s="26" t="str">
        <f aca="false">IF(Underwriting!$A19="","",Underwriting!$T19-((R20)*(1+BuyerPremium)+IF(N(Deals!S19)=0,0,MIN(N(Deals!S19),MAX(0,N(Deals!S19)+SheriffCostsFromBid-(R20)*(1-RTTPurchase))))))</f>
        <v/>
      </c>
      <c r="T20" s="27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27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26" t="str">
        <f aca="false">IF(Underwriting!$A19="","",ROUND(V$2*$C20,-3))</f>
        <v/>
      </c>
      <c r="W20" s="26" t="str">
        <f aca="false">IF(Underwriting!$A19="","",Underwriting!$T19-((V20)*(1+BuyerPremium)+IF(N(Deals!S19)=0,0,MIN(N(Deals!S19),MAX(0,N(Deals!S19)+SheriffCostsFromBid-(V20)*(1-RTTPurchase))))))</f>
        <v/>
      </c>
      <c r="X20" s="27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27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26" t="str">
        <f aca="false">IF(Underwriting!$A19="","",ROUND(Z$2*$C20,-3))</f>
        <v/>
      </c>
      <c r="AA20" s="26" t="str">
        <f aca="false">IF(Underwriting!$A19="","",Underwriting!$T19-((Z20)*(1+BuyerPremium)+IF(N(Deals!S19)=0,0,MIN(N(Deals!S19),MAX(0,N(Deals!S19)+SheriffCostsFromBid-(Z20)*(1-RTTPurchase))))))</f>
        <v/>
      </c>
      <c r="AB20" s="27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27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26" t="str">
        <f aca="false">IF(Underwriting!$A19="","",ROUND(AD$2*$C20,-3))</f>
        <v/>
      </c>
      <c r="AE20" s="26" t="str">
        <f aca="false">IF(Underwriting!$A19="","",Underwriting!$T19-((AD20)*(1+BuyerPremium)+IF(N(Deals!S19)=0,0,MIN(N(Deals!S19),MAX(0,N(Deals!S19)+SheriffCostsFromBid-(AD20)*(1-RTTPurchase))))))</f>
        <v/>
      </c>
      <c r="AF20" s="27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27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26" t="str">
        <f aca="false">IF(Underwriting!$A19="","",$E20)</f>
        <v/>
      </c>
      <c r="AI20" s="26" t="str">
        <f aca="false">IF(Underwriting!$A19="","",Underwriting!$T19-((AH20)*(1+BuyerPremium)+IF(N(Deals!S19)=0,0,MIN(N(Deals!S19),MAX(0,N(Deals!S19)+SheriffCostsFromBid-(AH20)*(1-RTTPurchase))))))</f>
        <v/>
      </c>
      <c r="AJ20" s="27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27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false" outlineLevel="0" collapsed="false">
      <c r="A21" s="0" t="str">
        <f aca="false">Underwriting!$A20</f>
        <v/>
      </c>
      <c r="B21" s="0" t="str">
        <f aca="false">Underwriting!$B20</f>
        <v/>
      </c>
      <c r="C21" s="26" t="str">
        <f aca="false">IF(Underwriting!$A20="","",N(Deals!M20))</f>
        <v/>
      </c>
      <c r="D21" s="26" t="str">
        <f aca="false">IF(Underwriting!$A20="","",N(Deals!D20))</f>
        <v/>
      </c>
      <c r="E21" s="26" t="str">
        <f aca="false">IF(Underwriting!$A20="","",Underwriting!$D20)</f>
        <v/>
      </c>
      <c r="F21" s="26" t="str">
        <f aca="false">IF(Underwriting!$A20="","",$D21)</f>
        <v/>
      </c>
      <c r="G21" s="26" t="str">
        <f aca="false">IF(Underwriting!$A20="","",Underwriting!$T20-((F21)*(1+BuyerPremium)+IF(N(Deals!S20)=0,0,MIN(N(Deals!S20),MAX(0,N(Deals!S20)+SheriffCostsFromBid-(F21)*(1-RTTPurchase))))))</f>
        <v/>
      </c>
      <c r="H21" s="27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27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26" t="str">
        <f aca="false">IF(Underwriting!$A20="","",ROUND(J$2*$C21,-3))</f>
        <v/>
      </c>
      <c r="K21" s="26" t="str">
        <f aca="false">IF(Underwriting!$A20="","",Underwriting!$T20-((J21)*(1+BuyerPremium)+IF(N(Deals!S20)=0,0,MIN(N(Deals!S20),MAX(0,N(Deals!S20)+SheriffCostsFromBid-(J21)*(1-RTTPurchase))))))</f>
        <v/>
      </c>
      <c r="L21" s="27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27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26" t="str">
        <f aca="false">IF(Underwriting!$A20="","",ROUND(N$2*$C21,-3))</f>
        <v/>
      </c>
      <c r="O21" s="26" t="str">
        <f aca="false">IF(Underwriting!$A20="","",Underwriting!$T20-((N21)*(1+BuyerPremium)+IF(N(Deals!S20)=0,0,MIN(N(Deals!S20),MAX(0,N(Deals!S20)+SheriffCostsFromBid-(N21)*(1-RTTPurchase))))))</f>
        <v/>
      </c>
      <c r="P21" s="27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27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26" t="str">
        <f aca="false">IF(Underwriting!$A20="","",ROUND(R$2*$C21,-3))</f>
        <v/>
      </c>
      <c r="S21" s="26" t="str">
        <f aca="false">IF(Underwriting!$A20="","",Underwriting!$T20-((R21)*(1+BuyerPremium)+IF(N(Deals!S20)=0,0,MIN(N(Deals!S20),MAX(0,N(Deals!S20)+SheriffCostsFromBid-(R21)*(1-RTTPurchase))))))</f>
        <v/>
      </c>
      <c r="T21" s="27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27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26" t="str">
        <f aca="false">IF(Underwriting!$A20="","",ROUND(V$2*$C21,-3))</f>
        <v/>
      </c>
      <c r="W21" s="26" t="str">
        <f aca="false">IF(Underwriting!$A20="","",Underwriting!$T20-((V21)*(1+BuyerPremium)+IF(N(Deals!S20)=0,0,MIN(N(Deals!S20),MAX(0,N(Deals!S20)+SheriffCostsFromBid-(V21)*(1-RTTPurchase))))))</f>
        <v/>
      </c>
      <c r="X21" s="27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27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26" t="str">
        <f aca="false">IF(Underwriting!$A20="","",ROUND(Z$2*$C21,-3))</f>
        <v/>
      </c>
      <c r="AA21" s="26" t="str">
        <f aca="false">IF(Underwriting!$A20="","",Underwriting!$T20-((Z21)*(1+BuyerPremium)+IF(N(Deals!S20)=0,0,MIN(N(Deals!S20),MAX(0,N(Deals!S20)+SheriffCostsFromBid-(Z21)*(1-RTTPurchase))))))</f>
        <v/>
      </c>
      <c r="AB21" s="27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27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26" t="str">
        <f aca="false">IF(Underwriting!$A20="","",ROUND(AD$2*$C21,-3))</f>
        <v/>
      </c>
      <c r="AE21" s="26" t="str">
        <f aca="false">IF(Underwriting!$A20="","",Underwriting!$T20-((AD21)*(1+BuyerPremium)+IF(N(Deals!S20)=0,0,MIN(N(Deals!S20),MAX(0,N(Deals!S20)+SheriffCostsFromBid-(AD21)*(1-RTTPurchase))))))</f>
        <v/>
      </c>
      <c r="AF21" s="27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27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26" t="str">
        <f aca="false">IF(Underwriting!$A20="","",$E21)</f>
        <v/>
      </c>
      <c r="AI21" s="26" t="str">
        <f aca="false">IF(Underwriting!$A20="","",Underwriting!$T20-((AH21)*(1+BuyerPremium)+IF(N(Deals!S20)=0,0,MIN(N(Deals!S20),MAX(0,N(Deals!S20)+SheriffCostsFromBid-(AH21)*(1-RTTPurchase))))))</f>
        <v/>
      </c>
      <c r="AJ21" s="27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27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false" outlineLevel="0" collapsed="false">
      <c r="A22" s="0" t="str">
        <f aca="false">Underwriting!$A21</f>
        <v/>
      </c>
      <c r="B22" s="0" t="str">
        <f aca="false">Underwriting!$B21</f>
        <v/>
      </c>
      <c r="C22" s="26" t="str">
        <f aca="false">IF(Underwriting!$A21="","",N(Deals!M21))</f>
        <v/>
      </c>
      <c r="D22" s="26" t="str">
        <f aca="false">IF(Underwriting!$A21="","",N(Deals!D21))</f>
        <v/>
      </c>
      <c r="E22" s="26" t="str">
        <f aca="false">IF(Underwriting!$A21="","",Underwriting!$D21)</f>
        <v/>
      </c>
      <c r="F22" s="26" t="str">
        <f aca="false">IF(Underwriting!$A21="","",$D22)</f>
        <v/>
      </c>
      <c r="G22" s="26" t="str">
        <f aca="false">IF(Underwriting!$A21="","",Underwriting!$T21-((F22)*(1+BuyerPremium)+IF(N(Deals!S21)=0,0,MIN(N(Deals!S21),MAX(0,N(Deals!S21)+SheriffCostsFromBid-(F22)*(1-RTTPurchase))))))</f>
        <v/>
      </c>
      <c r="H22" s="27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27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26" t="str">
        <f aca="false">IF(Underwriting!$A21="","",ROUND(J$2*$C22,-3))</f>
        <v/>
      </c>
      <c r="K22" s="26" t="str">
        <f aca="false">IF(Underwriting!$A21="","",Underwriting!$T21-((J22)*(1+BuyerPremium)+IF(N(Deals!S21)=0,0,MIN(N(Deals!S21),MAX(0,N(Deals!S21)+SheriffCostsFromBid-(J22)*(1-RTTPurchase))))))</f>
        <v/>
      </c>
      <c r="L22" s="27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27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26" t="str">
        <f aca="false">IF(Underwriting!$A21="","",ROUND(N$2*$C22,-3))</f>
        <v/>
      </c>
      <c r="O22" s="26" t="str">
        <f aca="false">IF(Underwriting!$A21="","",Underwriting!$T21-((N22)*(1+BuyerPremium)+IF(N(Deals!S21)=0,0,MIN(N(Deals!S21),MAX(0,N(Deals!S21)+SheriffCostsFromBid-(N22)*(1-RTTPurchase))))))</f>
        <v/>
      </c>
      <c r="P22" s="27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27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26" t="str">
        <f aca="false">IF(Underwriting!$A21="","",ROUND(R$2*$C22,-3))</f>
        <v/>
      </c>
      <c r="S22" s="26" t="str">
        <f aca="false">IF(Underwriting!$A21="","",Underwriting!$T21-((R22)*(1+BuyerPremium)+IF(N(Deals!S21)=0,0,MIN(N(Deals!S21),MAX(0,N(Deals!S21)+SheriffCostsFromBid-(R22)*(1-RTTPurchase))))))</f>
        <v/>
      </c>
      <c r="T22" s="27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27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26" t="str">
        <f aca="false">IF(Underwriting!$A21="","",ROUND(V$2*$C22,-3))</f>
        <v/>
      </c>
      <c r="W22" s="26" t="str">
        <f aca="false">IF(Underwriting!$A21="","",Underwriting!$T21-((V22)*(1+BuyerPremium)+IF(N(Deals!S21)=0,0,MIN(N(Deals!S21),MAX(0,N(Deals!S21)+SheriffCostsFromBid-(V22)*(1-RTTPurchase))))))</f>
        <v/>
      </c>
      <c r="X22" s="27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27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26" t="str">
        <f aca="false">IF(Underwriting!$A21="","",ROUND(Z$2*$C22,-3))</f>
        <v/>
      </c>
      <c r="AA22" s="26" t="str">
        <f aca="false">IF(Underwriting!$A21="","",Underwriting!$T21-((Z22)*(1+BuyerPremium)+IF(N(Deals!S21)=0,0,MIN(N(Deals!S21),MAX(0,N(Deals!S21)+SheriffCostsFromBid-(Z22)*(1-RTTPurchase))))))</f>
        <v/>
      </c>
      <c r="AB22" s="27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27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26" t="str">
        <f aca="false">IF(Underwriting!$A21="","",ROUND(AD$2*$C22,-3))</f>
        <v/>
      </c>
      <c r="AE22" s="26" t="str">
        <f aca="false">IF(Underwriting!$A21="","",Underwriting!$T21-((AD22)*(1+BuyerPremium)+IF(N(Deals!S21)=0,0,MIN(N(Deals!S21),MAX(0,N(Deals!S21)+SheriffCostsFromBid-(AD22)*(1-RTTPurchase))))))</f>
        <v/>
      </c>
      <c r="AF22" s="27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27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26" t="str">
        <f aca="false">IF(Underwriting!$A21="","",$E22)</f>
        <v/>
      </c>
      <c r="AI22" s="26" t="str">
        <f aca="false">IF(Underwriting!$A21="","",Underwriting!$T21-((AH22)*(1+BuyerPremium)+IF(N(Deals!S21)=0,0,MIN(N(Deals!S21),MAX(0,N(Deals!S21)+SheriffCostsFromBid-(AH22)*(1-RTTPurchase))))))</f>
        <v/>
      </c>
      <c r="AJ22" s="27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27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false" outlineLevel="0" collapsed="false">
      <c r="A23" s="0" t="str">
        <f aca="false">Underwriting!$A22</f>
        <v/>
      </c>
      <c r="B23" s="0" t="str">
        <f aca="false">Underwriting!$B22</f>
        <v/>
      </c>
      <c r="C23" s="26" t="str">
        <f aca="false">IF(Underwriting!$A22="","",N(Deals!M22))</f>
        <v/>
      </c>
      <c r="D23" s="26" t="str">
        <f aca="false">IF(Underwriting!$A22="","",N(Deals!D22))</f>
        <v/>
      </c>
      <c r="E23" s="26" t="str">
        <f aca="false">IF(Underwriting!$A22="","",Underwriting!$D22)</f>
        <v/>
      </c>
      <c r="F23" s="26" t="str">
        <f aca="false">IF(Underwriting!$A22="","",$D23)</f>
        <v/>
      </c>
      <c r="G23" s="26" t="str">
        <f aca="false">IF(Underwriting!$A22="","",Underwriting!$T22-((F23)*(1+BuyerPremium)+IF(N(Deals!S22)=0,0,MIN(N(Deals!S22),MAX(0,N(Deals!S22)+SheriffCostsFromBid-(F23)*(1-RTTPurchase))))))</f>
        <v/>
      </c>
      <c r="H23" s="27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27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26" t="str">
        <f aca="false">IF(Underwriting!$A22="","",ROUND(J$2*$C23,-3))</f>
        <v/>
      </c>
      <c r="K23" s="26" t="str">
        <f aca="false">IF(Underwriting!$A22="","",Underwriting!$T22-((J23)*(1+BuyerPremium)+IF(N(Deals!S22)=0,0,MIN(N(Deals!S22),MAX(0,N(Deals!S22)+SheriffCostsFromBid-(J23)*(1-RTTPurchase))))))</f>
        <v/>
      </c>
      <c r="L23" s="27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27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26" t="str">
        <f aca="false">IF(Underwriting!$A22="","",ROUND(N$2*$C23,-3))</f>
        <v/>
      </c>
      <c r="O23" s="26" t="str">
        <f aca="false">IF(Underwriting!$A22="","",Underwriting!$T22-((N23)*(1+BuyerPremium)+IF(N(Deals!S22)=0,0,MIN(N(Deals!S22),MAX(0,N(Deals!S22)+SheriffCostsFromBid-(N23)*(1-RTTPurchase))))))</f>
        <v/>
      </c>
      <c r="P23" s="27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27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26" t="str">
        <f aca="false">IF(Underwriting!$A22="","",ROUND(R$2*$C23,-3))</f>
        <v/>
      </c>
      <c r="S23" s="26" t="str">
        <f aca="false">IF(Underwriting!$A22="","",Underwriting!$T22-((R23)*(1+BuyerPremium)+IF(N(Deals!S22)=0,0,MIN(N(Deals!S22),MAX(0,N(Deals!S22)+SheriffCostsFromBid-(R23)*(1-RTTPurchase))))))</f>
        <v/>
      </c>
      <c r="T23" s="27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27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26" t="str">
        <f aca="false">IF(Underwriting!$A22="","",ROUND(V$2*$C23,-3))</f>
        <v/>
      </c>
      <c r="W23" s="26" t="str">
        <f aca="false">IF(Underwriting!$A22="","",Underwriting!$T22-((V23)*(1+BuyerPremium)+IF(N(Deals!S22)=0,0,MIN(N(Deals!S22),MAX(0,N(Deals!S22)+SheriffCostsFromBid-(V23)*(1-RTTPurchase))))))</f>
        <v/>
      </c>
      <c r="X23" s="27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27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26" t="str">
        <f aca="false">IF(Underwriting!$A22="","",ROUND(Z$2*$C23,-3))</f>
        <v/>
      </c>
      <c r="AA23" s="26" t="str">
        <f aca="false">IF(Underwriting!$A22="","",Underwriting!$T22-((Z23)*(1+BuyerPremium)+IF(N(Deals!S22)=0,0,MIN(N(Deals!S22),MAX(0,N(Deals!S22)+SheriffCostsFromBid-(Z23)*(1-RTTPurchase))))))</f>
        <v/>
      </c>
      <c r="AB23" s="27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27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26" t="str">
        <f aca="false">IF(Underwriting!$A22="","",ROUND(AD$2*$C23,-3))</f>
        <v/>
      </c>
      <c r="AE23" s="26" t="str">
        <f aca="false">IF(Underwriting!$A22="","",Underwriting!$T22-((AD23)*(1+BuyerPremium)+IF(N(Deals!S22)=0,0,MIN(N(Deals!S22),MAX(0,N(Deals!S22)+SheriffCostsFromBid-(AD23)*(1-RTTPurchase))))))</f>
        <v/>
      </c>
      <c r="AF23" s="27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27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26" t="str">
        <f aca="false">IF(Underwriting!$A22="","",$E23)</f>
        <v/>
      </c>
      <c r="AI23" s="26" t="str">
        <f aca="false">IF(Underwriting!$A22="","",Underwriting!$T22-((AH23)*(1+BuyerPremium)+IF(N(Deals!S22)=0,0,MIN(N(Deals!S22),MAX(0,N(Deals!S22)+SheriffCostsFromBid-(AH23)*(1-RTTPurchase))))))</f>
        <v/>
      </c>
      <c r="AJ23" s="27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27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false" outlineLevel="0" collapsed="false">
      <c r="A24" s="0" t="str">
        <f aca="false">Underwriting!$A23</f>
        <v/>
      </c>
      <c r="B24" s="0" t="str">
        <f aca="false">Underwriting!$B23</f>
        <v/>
      </c>
      <c r="C24" s="26" t="str">
        <f aca="false">IF(Underwriting!$A23="","",N(Deals!M23))</f>
        <v/>
      </c>
      <c r="D24" s="26" t="str">
        <f aca="false">IF(Underwriting!$A23="","",N(Deals!D23))</f>
        <v/>
      </c>
      <c r="E24" s="26" t="str">
        <f aca="false">IF(Underwriting!$A23="","",Underwriting!$D23)</f>
        <v/>
      </c>
      <c r="F24" s="26" t="str">
        <f aca="false">IF(Underwriting!$A23="","",$D24)</f>
        <v/>
      </c>
      <c r="G24" s="26" t="str">
        <f aca="false">IF(Underwriting!$A23="","",Underwriting!$T23-((F24)*(1+BuyerPremium)+IF(N(Deals!S23)=0,0,MIN(N(Deals!S23),MAX(0,N(Deals!S23)+SheriffCostsFromBid-(F24)*(1-RTTPurchase))))))</f>
        <v/>
      </c>
      <c r="H24" s="27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27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26" t="str">
        <f aca="false">IF(Underwriting!$A23="","",ROUND(J$2*$C24,-3))</f>
        <v/>
      </c>
      <c r="K24" s="26" t="str">
        <f aca="false">IF(Underwriting!$A23="","",Underwriting!$T23-((J24)*(1+BuyerPremium)+IF(N(Deals!S23)=0,0,MIN(N(Deals!S23),MAX(0,N(Deals!S23)+SheriffCostsFromBid-(J24)*(1-RTTPurchase))))))</f>
        <v/>
      </c>
      <c r="L24" s="27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27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26" t="str">
        <f aca="false">IF(Underwriting!$A23="","",ROUND(N$2*$C24,-3))</f>
        <v/>
      </c>
      <c r="O24" s="26" t="str">
        <f aca="false">IF(Underwriting!$A23="","",Underwriting!$T23-((N24)*(1+BuyerPremium)+IF(N(Deals!S23)=0,0,MIN(N(Deals!S23),MAX(0,N(Deals!S23)+SheriffCostsFromBid-(N24)*(1-RTTPurchase))))))</f>
        <v/>
      </c>
      <c r="P24" s="27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27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26" t="str">
        <f aca="false">IF(Underwriting!$A23="","",ROUND(R$2*$C24,-3))</f>
        <v/>
      </c>
      <c r="S24" s="26" t="str">
        <f aca="false">IF(Underwriting!$A23="","",Underwriting!$T23-((R24)*(1+BuyerPremium)+IF(N(Deals!S23)=0,0,MIN(N(Deals!S23),MAX(0,N(Deals!S23)+SheriffCostsFromBid-(R24)*(1-RTTPurchase))))))</f>
        <v/>
      </c>
      <c r="T24" s="27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27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26" t="str">
        <f aca="false">IF(Underwriting!$A23="","",ROUND(V$2*$C24,-3))</f>
        <v/>
      </c>
      <c r="W24" s="26" t="str">
        <f aca="false">IF(Underwriting!$A23="","",Underwriting!$T23-((V24)*(1+BuyerPremium)+IF(N(Deals!S23)=0,0,MIN(N(Deals!S23),MAX(0,N(Deals!S23)+SheriffCostsFromBid-(V24)*(1-RTTPurchase))))))</f>
        <v/>
      </c>
      <c r="X24" s="27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27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26" t="str">
        <f aca="false">IF(Underwriting!$A23="","",ROUND(Z$2*$C24,-3))</f>
        <v/>
      </c>
      <c r="AA24" s="26" t="str">
        <f aca="false">IF(Underwriting!$A23="","",Underwriting!$T23-((Z24)*(1+BuyerPremium)+IF(N(Deals!S23)=0,0,MIN(N(Deals!S23),MAX(0,N(Deals!S23)+SheriffCostsFromBid-(Z24)*(1-RTTPurchase))))))</f>
        <v/>
      </c>
      <c r="AB24" s="27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27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26" t="str">
        <f aca="false">IF(Underwriting!$A23="","",ROUND(AD$2*$C24,-3))</f>
        <v/>
      </c>
      <c r="AE24" s="26" t="str">
        <f aca="false">IF(Underwriting!$A23="","",Underwriting!$T23-((AD24)*(1+BuyerPremium)+IF(N(Deals!S23)=0,0,MIN(N(Deals!S23),MAX(0,N(Deals!S23)+SheriffCostsFromBid-(AD24)*(1-RTTPurchase))))))</f>
        <v/>
      </c>
      <c r="AF24" s="27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27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26" t="str">
        <f aca="false">IF(Underwriting!$A23="","",$E24)</f>
        <v/>
      </c>
      <c r="AI24" s="26" t="str">
        <f aca="false">IF(Underwriting!$A23="","",Underwriting!$T23-((AH24)*(1+BuyerPremium)+IF(N(Deals!S23)=0,0,MIN(N(Deals!S23),MAX(0,N(Deals!S23)+SheriffCostsFromBid-(AH24)*(1-RTTPurchase))))))</f>
        <v/>
      </c>
      <c r="AJ24" s="27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27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false" outlineLevel="0" collapsed="false">
      <c r="A25" s="0" t="str">
        <f aca="false">Underwriting!$A24</f>
        <v/>
      </c>
      <c r="B25" s="0" t="str">
        <f aca="false">Underwriting!$B24</f>
        <v/>
      </c>
      <c r="C25" s="26" t="str">
        <f aca="false">IF(Underwriting!$A24="","",N(Deals!M24))</f>
        <v/>
      </c>
      <c r="D25" s="26" t="str">
        <f aca="false">IF(Underwriting!$A24="","",N(Deals!D24))</f>
        <v/>
      </c>
      <c r="E25" s="26" t="str">
        <f aca="false">IF(Underwriting!$A24="","",Underwriting!$D24)</f>
        <v/>
      </c>
      <c r="F25" s="26" t="str">
        <f aca="false">IF(Underwriting!$A24="","",$D25)</f>
        <v/>
      </c>
      <c r="G25" s="26" t="str">
        <f aca="false">IF(Underwriting!$A24="","",Underwriting!$T24-((F25)*(1+BuyerPremium)+IF(N(Deals!S24)=0,0,MIN(N(Deals!S24),MAX(0,N(Deals!S24)+SheriffCostsFromBid-(F25)*(1-RTTPurchase))))))</f>
        <v/>
      </c>
      <c r="H25" s="27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27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26" t="str">
        <f aca="false">IF(Underwriting!$A24="","",ROUND(J$2*$C25,-3))</f>
        <v/>
      </c>
      <c r="K25" s="26" t="str">
        <f aca="false">IF(Underwriting!$A24="","",Underwriting!$T24-((J25)*(1+BuyerPremium)+IF(N(Deals!S24)=0,0,MIN(N(Deals!S24),MAX(0,N(Deals!S24)+SheriffCostsFromBid-(J25)*(1-RTTPurchase))))))</f>
        <v/>
      </c>
      <c r="L25" s="27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27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26" t="str">
        <f aca="false">IF(Underwriting!$A24="","",ROUND(N$2*$C25,-3))</f>
        <v/>
      </c>
      <c r="O25" s="26" t="str">
        <f aca="false">IF(Underwriting!$A24="","",Underwriting!$T24-((N25)*(1+BuyerPremium)+IF(N(Deals!S24)=0,0,MIN(N(Deals!S24),MAX(0,N(Deals!S24)+SheriffCostsFromBid-(N25)*(1-RTTPurchase))))))</f>
        <v/>
      </c>
      <c r="P25" s="27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27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26" t="str">
        <f aca="false">IF(Underwriting!$A24="","",ROUND(R$2*$C25,-3))</f>
        <v/>
      </c>
      <c r="S25" s="26" t="str">
        <f aca="false">IF(Underwriting!$A24="","",Underwriting!$T24-((R25)*(1+BuyerPremium)+IF(N(Deals!S24)=0,0,MIN(N(Deals!S24),MAX(0,N(Deals!S24)+SheriffCostsFromBid-(R25)*(1-RTTPurchase))))))</f>
        <v/>
      </c>
      <c r="T25" s="27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27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26" t="str">
        <f aca="false">IF(Underwriting!$A24="","",ROUND(V$2*$C25,-3))</f>
        <v/>
      </c>
      <c r="W25" s="26" t="str">
        <f aca="false">IF(Underwriting!$A24="","",Underwriting!$T24-((V25)*(1+BuyerPremium)+IF(N(Deals!S24)=0,0,MIN(N(Deals!S24),MAX(0,N(Deals!S24)+SheriffCostsFromBid-(V25)*(1-RTTPurchase))))))</f>
        <v/>
      </c>
      <c r="X25" s="27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27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26" t="str">
        <f aca="false">IF(Underwriting!$A24="","",ROUND(Z$2*$C25,-3))</f>
        <v/>
      </c>
      <c r="AA25" s="26" t="str">
        <f aca="false">IF(Underwriting!$A24="","",Underwriting!$T24-((Z25)*(1+BuyerPremium)+IF(N(Deals!S24)=0,0,MIN(N(Deals!S24),MAX(0,N(Deals!S24)+SheriffCostsFromBid-(Z25)*(1-RTTPurchase))))))</f>
        <v/>
      </c>
      <c r="AB25" s="27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27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26" t="str">
        <f aca="false">IF(Underwriting!$A24="","",ROUND(AD$2*$C25,-3))</f>
        <v/>
      </c>
      <c r="AE25" s="26" t="str">
        <f aca="false">IF(Underwriting!$A24="","",Underwriting!$T24-((AD25)*(1+BuyerPremium)+IF(N(Deals!S24)=0,0,MIN(N(Deals!S24),MAX(0,N(Deals!S24)+SheriffCostsFromBid-(AD25)*(1-RTTPurchase))))))</f>
        <v/>
      </c>
      <c r="AF25" s="27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27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26" t="str">
        <f aca="false">IF(Underwriting!$A24="","",$E25)</f>
        <v/>
      </c>
      <c r="AI25" s="26" t="str">
        <f aca="false">IF(Underwriting!$A24="","",Underwriting!$T24-((AH25)*(1+BuyerPremium)+IF(N(Deals!S24)=0,0,MIN(N(Deals!S24),MAX(0,N(Deals!S24)+SheriffCostsFromBid-(AH25)*(1-RTTPurchase))))))</f>
        <v/>
      </c>
      <c r="AJ25" s="27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27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false" outlineLevel="0" collapsed="false">
      <c r="A26" s="0" t="str">
        <f aca="false">Underwriting!$A25</f>
        <v/>
      </c>
      <c r="B26" s="0" t="str">
        <f aca="false">Underwriting!$B25</f>
        <v/>
      </c>
      <c r="C26" s="26" t="str">
        <f aca="false">IF(Underwriting!$A25="","",N(Deals!M25))</f>
        <v/>
      </c>
      <c r="D26" s="26" t="str">
        <f aca="false">IF(Underwriting!$A25="","",N(Deals!D25))</f>
        <v/>
      </c>
      <c r="E26" s="26" t="str">
        <f aca="false">IF(Underwriting!$A25="","",Underwriting!$D25)</f>
        <v/>
      </c>
      <c r="F26" s="26" t="str">
        <f aca="false">IF(Underwriting!$A25="","",$D26)</f>
        <v/>
      </c>
      <c r="G26" s="26" t="str">
        <f aca="false">IF(Underwriting!$A25="","",Underwriting!$T25-((F26)*(1+BuyerPremium)+IF(N(Deals!S25)=0,0,MIN(N(Deals!S25),MAX(0,N(Deals!S25)+SheriffCostsFromBid-(F26)*(1-RTTPurchase))))))</f>
        <v/>
      </c>
      <c r="H26" s="27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27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26" t="str">
        <f aca="false">IF(Underwriting!$A25="","",ROUND(J$2*$C26,-3))</f>
        <v/>
      </c>
      <c r="K26" s="26" t="str">
        <f aca="false">IF(Underwriting!$A25="","",Underwriting!$T25-((J26)*(1+BuyerPremium)+IF(N(Deals!S25)=0,0,MIN(N(Deals!S25),MAX(0,N(Deals!S25)+SheriffCostsFromBid-(J26)*(1-RTTPurchase))))))</f>
        <v/>
      </c>
      <c r="L26" s="27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27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26" t="str">
        <f aca="false">IF(Underwriting!$A25="","",ROUND(N$2*$C26,-3))</f>
        <v/>
      </c>
      <c r="O26" s="26" t="str">
        <f aca="false">IF(Underwriting!$A25="","",Underwriting!$T25-((N26)*(1+BuyerPremium)+IF(N(Deals!S25)=0,0,MIN(N(Deals!S25),MAX(0,N(Deals!S25)+SheriffCostsFromBid-(N26)*(1-RTTPurchase))))))</f>
        <v/>
      </c>
      <c r="P26" s="27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27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26" t="str">
        <f aca="false">IF(Underwriting!$A25="","",ROUND(R$2*$C26,-3))</f>
        <v/>
      </c>
      <c r="S26" s="26" t="str">
        <f aca="false">IF(Underwriting!$A25="","",Underwriting!$T25-((R26)*(1+BuyerPremium)+IF(N(Deals!S25)=0,0,MIN(N(Deals!S25),MAX(0,N(Deals!S25)+SheriffCostsFromBid-(R26)*(1-RTTPurchase))))))</f>
        <v/>
      </c>
      <c r="T26" s="27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27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26" t="str">
        <f aca="false">IF(Underwriting!$A25="","",ROUND(V$2*$C26,-3))</f>
        <v/>
      </c>
      <c r="W26" s="26" t="str">
        <f aca="false">IF(Underwriting!$A25="","",Underwriting!$T25-((V26)*(1+BuyerPremium)+IF(N(Deals!S25)=0,0,MIN(N(Deals!S25),MAX(0,N(Deals!S25)+SheriffCostsFromBid-(V26)*(1-RTTPurchase))))))</f>
        <v/>
      </c>
      <c r="X26" s="27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27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26" t="str">
        <f aca="false">IF(Underwriting!$A25="","",ROUND(Z$2*$C26,-3))</f>
        <v/>
      </c>
      <c r="AA26" s="26" t="str">
        <f aca="false">IF(Underwriting!$A25="","",Underwriting!$T25-((Z26)*(1+BuyerPremium)+IF(N(Deals!S25)=0,0,MIN(N(Deals!S25),MAX(0,N(Deals!S25)+SheriffCostsFromBid-(Z26)*(1-RTTPurchase))))))</f>
        <v/>
      </c>
      <c r="AB26" s="27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27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26" t="str">
        <f aca="false">IF(Underwriting!$A25="","",ROUND(AD$2*$C26,-3))</f>
        <v/>
      </c>
      <c r="AE26" s="26" t="str">
        <f aca="false">IF(Underwriting!$A25="","",Underwriting!$T25-((AD26)*(1+BuyerPremium)+IF(N(Deals!S25)=0,0,MIN(N(Deals!S25),MAX(0,N(Deals!S25)+SheriffCostsFromBid-(AD26)*(1-RTTPurchase))))))</f>
        <v/>
      </c>
      <c r="AF26" s="27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27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26" t="str">
        <f aca="false">IF(Underwriting!$A25="","",$E26)</f>
        <v/>
      </c>
      <c r="AI26" s="26" t="str">
        <f aca="false">IF(Underwriting!$A25="","",Underwriting!$T25-((AH26)*(1+BuyerPremium)+IF(N(Deals!S25)=0,0,MIN(N(Deals!S25),MAX(0,N(Deals!S25)+SheriffCostsFromBid-(AH26)*(1-RTTPurchase))))))</f>
        <v/>
      </c>
      <c r="AJ26" s="27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27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false" outlineLevel="0" collapsed="false">
      <c r="A27" s="0" t="str">
        <f aca="false">Underwriting!$A26</f>
        <v/>
      </c>
      <c r="B27" s="0" t="str">
        <f aca="false">Underwriting!$B26</f>
        <v/>
      </c>
      <c r="C27" s="26" t="str">
        <f aca="false">IF(Underwriting!$A26="","",N(Deals!M26))</f>
        <v/>
      </c>
      <c r="D27" s="26" t="str">
        <f aca="false">IF(Underwriting!$A26="","",N(Deals!D26))</f>
        <v/>
      </c>
      <c r="E27" s="26" t="str">
        <f aca="false">IF(Underwriting!$A26="","",Underwriting!$D26)</f>
        <v/>
      </c>
      <c r="F27" s="26" t="str">
        <f aca="false">IF(Underwriting!$A26="","",$D27)</f>
        <v/>
      </c>
      <c r="G27" s="26" t="str">
        <f aca="false">IF(Underwriting!$A26="","",Underwriting!$T26-((F27)*(1+BuyerPremium)+IF(N(Deals!S26)=0,0,MIN(N(Deals!S26),MAX(0,N(Deals!S26)+SheriffCostsFromBid-(F27)*(1-RTTPurchase))))))</f>
        <v/>
      </c>
      <c r="H27" s="27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27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26" t="str">
        <f aca="false">IF(Underwriting!$A26="","",ROUND(J$2*$C27,-3))</f>
        <v/>
      </c>
      <c r="K27" s="26" t="str">
        <f aca="false">IF(Underwriting!$A26="","",Underwriting!$T26-((J27)*(1+BuyerPremium)+IF(N(Deals!S26)=0,0,MIN(N(Deals!S26),MAX(0,N(Deals!S26)+SheriffCostsFromBid-(J27)*(1-RTTPurchase))))))</f>
        <v/>
      </c>
      <c r="L27" s="27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27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26" t="str">
        <f aca="false">IF(Underwriting!$A26="","",ROUND(N$2*$C27,-3))</f>
        <v/>
      </c>
      <c r="O27" s="26" t="str">
        <f aca="false">IF(Underwriting!$A26="","",Underwriting!$T26-((N27)*(1+BuyerPremium)+IF(N(Deals!S26)=0,0,MIN(N(Deals!S26),MAX(0,N(Deals!S26)+SheriffCostsFromBid-(N27)*(1-RTTPurchase))))))</f>
        <v/>
      </c>
      <c r="P27" s="27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27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26" t="str">
        <f aca="false">IF(Underwriting!$A26="","",ROUND(R$2*$C27,-3))</f>
        <v/>
      </c>
      <c r="S27" s="26" t="str">
        <f aca="false">IF(Underwriting!$A26="","",Underwriting!$T26-((R27)*(1+BuyerPremium)+IF(N(Deals!S26)=0,0,MIN(N(Deals!S26),MAX(0,N(Deals!S26)+SheriffCostsFromBid-(R27)*(1-RTTPurchase))))))</f>
        <v/>
      </c>
      <c r="T27" s="27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27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26" t="str">
        <f aca="false">IF(Underwriting!$A26="","",ROUND(V$2*$C27,-3))</f>
        <v/>
      </c>
      <c r="W27" s="26" t="str">
        <f aca="false">IF(Underwriting!$A26="","",Underwriting!$T26-((V27)*(1+BuyerPremium)+IF(N(Deals!S26)=0,0,MIN(N(Deals!S26),MAX(0,N(Deals!S26)+SheriffCostsFromBid-(V27)*(1-RTTPurchase))))))</f>
        <v/>
      </c>
      <c r="X27" s="27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27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26" t="str">
        <f aca="false">IF(Underwriting!$A26="","",ROUND(Z$2*$C27,-3))</f>
        <v/>
      </c>
      <c r="AA27" s="26" t="str">
        <f aca="false">IF(Underwriting!$A26="","",Underwriting!$T26-((Z27)*(1+BuyerPremium)+IF(N(Deals!S26)=0,0,MIN(N(Deals!S26),MAX(0,N(Deals!S26)+SheriffCostsFromBid-(Z27)*(1-RTTPurchase))))))</f>
        <v/>
      </c>
      <c r="AB27" s="27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27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26" t="str">
        <f aca="false">IF(Underwriting!$A26="","",ROUND(AD$2*$C27,-3))</f>
        <v/>
      </c>
      <c r="AE27" s="26" t="str">
        <f aca="false">IF(Underwriting!$A26="","",Underwriting!$T26-((AD27)*(1+BuyerPremium)+IF(N(Deals!S26)=0,0,MIN(N(Deals!S26),MAX(0,N(Deals!S26)+SheriffCostsFromBid-(AD27)*(1-RTTPurchase))))))</f>
        <v/>
      </c>
      <c r="AF27" s="27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27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26" t="str">
        <f aca="false">IF(Underwriting!$A26="","",$E27)</f>
        <v/>
      </c>
      <c r="AI27" s="26" t="str">
        <f aca="false">IF(Underwriting!$A26="","",Underwriting!$T26-((AH27)*(1+BuyerPremium)+IF(N(Deals!S26)=0,0,MIN(N(Deals!S26),MAX(0,N(Deals!S26)+SheriffCostsFromBid-(AH27)*(1-RTTPurchase))))))</f>
        <v/>
      </c>
      <c r="AJ27" s="27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27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false" outlineLevel="0" collapsed="false">
      <c r="A28" s="0" t="str">
        <f aca="false">Underwriting!$A27</f>
        <v/>
      </c>
      <c r="B28" s="0" t="str">
        <f aca="false">Underwriting!$B27</f>
        <v/>
      </c>
      <c r="C28" s="26" t="str">
        <f aca="false">IF(Underwriting!$A27="","",N(Deals!M27))</f>
        <v/>
      </c>
      <c r="D28" s="26" t="str">
        <f aca="false">IF(Underwriting!$A27="","",N(Deals!D27))</f>
        <v/>
      </c>
      <c r="E28" s="26" t="str">
        <f aca="false">IF(Underwriting!$A27="","",Underwriting!$D27)</f>
        <v/>
      </c>
      <c r="F28" s="26" t="str">
        <f aca="false">IF(Underwriting!$A27="","",$D28)</f>
        <v/>
      </c>
      <c r="G28" s="26" t="str">
        <f aca="false">IF(Underwriting!$A27="","",Underwriting!$T27-((F28)*(1+BuyerPremium)+IF(N(Deals!S27)=0,0,MIN(N(Deals!S27),MAX(0,N(Deals!S27)+SheriffCostsFromBid-(F28)*(1-RTTPurchase))))))</f>
        <v/>
      </c>
      <c r="H28" s="27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27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26" t="str">
        <f aca="false">IF(Underwriting!$A27="","",ROUND(J$2*$C28,-3))</f>
        <v/>
      </c>
      <c r="K28" s="26" t="str">
        <f aca="false">IF(Underwriting!$A27="","",Underwriting!$T27-((J28)*(1+BuyerPremium)+IF(N(Deals!S27)=0,0,MIN(N(Deals!S27),MAX(0,N(Deals!S27)+SheriffCostsFromBid-(J28)*(1-RTTPurchase))))))</f>
        <v/>
      </c>
      <c r="L28" s="27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27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26" t="str">
        <f aca="false">IF(Underwriting!$A27="","",ROUND(N$2*$C28,-3))</f>
        <v/>
      </c>
      <c r="O28" s="26" t="str">
        <f aca="false">IF(Underwriting!$A27="","",Underwriting!$T27-((N28)*(1+BuyerPremium)+IF(N(Deals!S27)=0,0,MIN(N(Deals!S27),MAX(0,N(Deals!S27)+SheriffCostsFromBid-(N28)*(1-RTTPurchase))))))</f>
        <v/>
      </c>
      <c r="P28" s="27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27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26" t="str">
        <f aca="false">IF(Underwriting!$A27="","",ROUND(R$2*$C28,-3))</f>
        <v/>
      </c>
      <c r="S28" s="26" t="str">
        <f aca="false">IF(Underwriting!$A27="","",Underwriting!$T27-((R28)*(1+BuyerPremium)+IF(N(Deals!S27)=0,0,MIN(N(Deals!S27),MAX(0,N(Deals!S27)+SheriffCostsFromBid-(R28)*(1-RTTPurchase))))))</f>
        <v/>
      </c>
      <c r="T28" s="27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27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26" t="str">
        <f aca="false">IF(Underwriting!$A27="","",ROUND(V$2*$C28,-3))</f>
        <v/>
      </c>
      <c r="W28" s="26" t="str">
        <f aca="false">IF(Underwriting!$A27="","",Underwriting!$T27-((V28)*(1+BuyerPremium)+IF(N(Deals!S27)=0,0,MIN(N(Deals!S27),MAX(0,N(Deals!S27)+SheriffCostsFromBid-(V28)*(1-RTTPurchase))))))</f>
        <v/>
      </c>
      <c r="X28" s="27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27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26" t="str">
        <f aca="false">IF(Underwriting!$A27="","",ROUND(Z$2*$C28,-3))</f>
        <v/>
      </c>
      <c r="AA28" s="26" t="str">
        <f aca="false">IF(Underwriting!$A27="","",Underwriting!$T27-((Z28)*(1+BuyerPremium)+IF(N(Deals!S27)=0,0,MIN(N(Deals!S27),MAX(0,N(Deals!S27)+SheriffCostsFromBid-(Z28)*(1-RTTPurchase))))))</f>
        <v/>
      </c>
      <c r="AB28" s="27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27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26" t="str">
        <f aca="false">IF(Underwriting!$A27="","",ROUND(AD$2*$C28,-3))</f>
        <v/>
      </c>
      <c r="AE28" s="26" t="str">
        <f aca="false">IF(Underwriting!$A27="","",Underwriting!$T27-((AD28)*(1+BuyerPremium)+IF(N(Deals!S27)=0,0,MIN(N(Deals!S27),MAX(0,N(Deals!S27)+SheriffCostsFromBid-(AD28)*(1-RTTPurchase))))))</f>
        <v/>
      </c>
      <c r="AF28" s="27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27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26" t="str">
        <f aca="false">IF(Underwriting!$A27="","",$E28)</f>
        <v/>
      </c>
      <c r="AI28" s="26" t="str">
        <f aca="false">IF(Underwriting!$A27="","",Underwriting!$T27-((AH28)*(1+BuyerPremium)+IF(N(Deals!S27)=0,0,MIN(N(Deals!S27),MAX(0,N(Deals!S27)+SheriffCostsFromBid-(AH28)*(1-RTTPurchase))))))</f>
        <v/>
      </c>
      <c r="AJ28" s="27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27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false" outlineLevel="0" collapsed="false">
      <c r="A29" s="0" t="str">
        <f aca="false">Underwriting!$A28</f>
        <v/>
      </c>
      <c r="B29" s="0" t="str">
        <f aca="false">Underwriting!$B28</f>
        <v/>
      </c>
      <c r="C29" s="26" t="str">
        <f aca="false">IF(Underwriting!$A28="","",N(Deals!M28))</f>
        <v/>
      </c>
      <c r="D29" s="26" t="str">
        <f aca="false">IF(Underwriting!$A28="","",N(Deals!D28))</f>
        <v/>
      </c>
      <c r="E29" s="26" t="str">
        <f aca="false">IF(Underwriting!$A28="","",Underwriting!$D28)</f>
        <v/>
      </c>
      <c r="F29" s="26" t="str">
        <f aca="false">IF(Underwriting!$A28="","",$D29)</f>
        <v/>
      </c>
      <c r="G29" s="26" t="str">
        <f aca="false">IF(Underwriting!$A28="","",Underwriting!$T28-((F29)*(1+BuyerPremium)+IF(N(Deals!S28)=0,0,MIN(N(Deals!S28),MAX(0,N(Deals!S28)+SheriffCostsFromBid-(F29)*(1-RTTPurchase))))))</f>
        <v/>
      </c>
      <c r="H29" s="27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27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26" t="str">
        <f aca="false">IF(Underwriting!$A28="","",ROUND(J$2*$C29,-3))</f>
        <v/>
      </c>
      <c r="K29" s="26" t="str">
        <f aca="false">IF(Underwriting!$A28="","",Underwriting!$T28-((J29)*(1+BuyerPremium)+IF(N(Deals!S28)=0,0,MIN(N(Deals!S28),MAX(0,N(Deals!S28)+SheriffCostsFromBid-(J29)*(1-RTTPurchase))))))</f>
        <v/>
      </c>
      <c r="L29" s="27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27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26" t="str">
        <f aca="false">IF(Underwriting!$A28="","",ROUND(N$2*$C29,-3))</f>
        <v/>
      </c>
      <c r="O29" s="26" t="str">
        <f aca="false">IF(Underwriting!$A28="","",Underwriting!$T28-((N29)*(1+BuyerPremium)+IF(N(Deals!S28)=0,0,MIN(N(Deals!S28),MAX(0,N(Deals!S28)+SheriffCostsFromBid-(N29)*(1-RTTPurchase))))))</f>
        <v/>
      </c>
      <c r="P29" s="27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27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26" t="str">
        <f aca="false">IF(Underwriting!$A28="","",ROUND(R$2*$C29,-3))</f>
        <v/>
      </c>
      <c r="S29" s="26" t="str">
        <f aca="false">IF(Underwriting!$A28="","",Underwriting!$T28-((R29)*(1+BuyerPremium)+IF(N(Deals!S28)=0,0,MIN(N(Deals!S28),MAX(0,N(Deals!S28)+SheriffCostsFromBid-(R29)*(1-RTTPurchase))))))</f>
        <v/>
      </c>
      <c r="T29" s="27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27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26" t="str">
        <f aca="false">IF(Underwriting!$A28="","",ROUND(V$2*$C29,-3))</f>
        <v/>
      </c>
      <c r="W29" s="26" t="str">
        <f aca="false">IF(Underwriting!$A28="","",Underwriting!$T28-((V29)*(1+BuyerPremium)+IF(N(Deals!S28)=0,0,MIN(N(Deals!S28),MAX(0,N(Deals!S28)+SheriffCostsFromBid-(V29)*(1-RTTPurchase))))))</f>
        <v/>
      </c>
      <c r="X29" s="27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27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26" t="str">
        <f aca="false">IF(Underwriting!$A28="","",ROUND(Z$2*$C29,-3))</f>
        <v/>
      </c>
      <c r="AA29" s="26" t="str">
        <f aca="false">IF(Underwriting!$A28="","",Underwriting!$T28-((Z29)*(1+BuyerPremium)+IF(N(Deals!S28)=0,0,MIN(N(Deals!S28),MAX(0,N(Deals!S28)+SheriffCostsFromBid-(Z29)*(1-RTTPurchase))))))</f>
        <v/>
      </c>
      <c r="AB29" s="27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27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26" t="str">
        <f aca="false">IF(Underwriting!$A28="","",ROUND(AD$2*$C29,-3))</f>
        <v/>
      </c>
      <c r="AE29" s="26" t="str">
        <f aca="false">IF(Underwriting!$A28="","",Underwriting!$T28-((AD29)*(1+BuyerPremium)+IF(N(Deals!S28)=0,0,MIN(N(Deals!S28),MAX(0,N(Deals!S28)+SheriffCostsFromBid-(AD29)*(1-RTTPurchase))))))</f>
        <v/>
      </c>
      <c r="AF29" s="27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27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26" t="str">
        <f aca="false">IF(Underwriting!$A28="","",$E29)</f>
        <v/>
      </c>
      <c r="AI29" s="26" t="str">
        <f aca="false">IF(Underwriting!$A28="","",Underwriting!$T28-((AH29)*(1+BuyerPremium)+IF(N(Deals!S28)=0,0,MIN(N(Deals!S28),MAX(0,N(Deals!S28)+SheriffCostsFromBid-(AH29)*(1-RTTPurchase))))))</f>
        <v/>
      </c>
      <c r="AJ29" s="27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27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false" outlineLevel="0" collapsed="false">
      <c r="A30" s="0" t="str">
        <f aca="false">Underwriting!$A29</f>
        <v/>
      </c>
      <c r="B30" s="0" t="str">
        <f aca="false">Underwriting!$B29</f>
        <v/>
      </c>
      <c r="C30" s="26" t="str">
        <f aca="false">IF(Underwriting!$A29="","",N(Deals!M29))</f>
        <v/>
      </c>
      <c r="D30" s="26" t="str">
        <f aca="false">IF(Underwriting!$A29="","",N(Deals!D29))</f>
        <v/>
      </c>
      <c r="E30" s="26" t="str">
        <f aca="false">IF(Underwriting!$A29="","",Underwriting!$D29)</f>
        <v/>
      </c>
      <c r="F30" s="26" t="str">
        <f aca="false">IF(Underwriting!$A29="","",$D30)</f>
        <v/>
      </c>
      <c r="G30" s="26" t="str">
        <f aca="false">IF(Underwriting!$A29="","",Underwriting!$T29-((F30)*(1+BuyerPremium)+IF(N(Deals!S29)=0,0,MIN(N(Deals!S29),MAX(0,N(Deals!S29)+SheriffCostsFromBid-(F30)*(1-RTTPurchase))))))</f>
        <v/>
      </c>
      <c r="H30" s="27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27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26" t="str">
        <f aca="false">IF(Underwriting!$A29="","",ROUND(J$2*$C30,-3))</f>
        <v/>
      </c>
      <c r="K30" s="26" t="str">
        <f aca="false">IF(Underwriting!$A29="","",Underwriting!$T29-((J30)*(1+BuyerPremium)+IF(N(Deals!S29)=0,0,MIN(N(Deals!S29),MAX(0,N(Deals!S29)+SheriffCostsFromBid-(J30)*(1-RTTPurchase))))))</f>
        <v/>
      </c>
      <c r="L30" s="27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27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26" t="str">
        <f aca="false">IF(Underwriting!$A29="","",ROUND(N$2*$C30,-3))</f>
        <v/>
      </c>
      <c r="O30" s="26" t="str">
        <f aca="false">IF(Underwriting!$A29="","",Underwriting!$T29-((N30)*(1+BuyerPremium)+IF(N(Deals!S29)=0,0,MIN(N(Deals!S29),MAX(0,N(Deals!S29)+SheriffCostsFromBid-(N30)*(1-RTTPurchase))))))</f>
        <v/>
      </c>
      <c r="P30" s="27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27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26" t="str">
        <f aca="false">IF(Underwriting!$A29="","",ROUND(R$2*$C30,-3))</f>
        <v/>
      </c>
      <c r="S30" s="26" t="str">
        <f aca="false">IF(Underwriting!$A29="","",Underwriting!$T29-((R30)*(1+BuyerPremium)+IF(N(Deals!S29)=0,0,MIN(N(Deals!S29),MAX(0,N(Deals!S29)+SheriffCostsFromBid-(R30)*(1-RTTPurchase))))))</f>
        <v/>
      </c>
      <c r="T30" s="27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27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26" t="str">
        <f aca="false">IF(Underwriting!$A29="","",ROUND(V$2*$C30,-3))</f>
        <v/>
      </c>
      <c r="W30" s="26" t="str">
        <f aca="false">IF(Underwriting!$A29="","",Underwriting!$T29-((V30)*(1+BuyerPremium)+IF(N(Deals!S29)=0,0,MIN(N(Deals!S29),MAX(0,N(Deals!S29)+SheriffCostsFromBid-(V30)*(1-RTTPurchase))))))</f>
        <v/>
      </c>
      <c r="X30" s="27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27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26" t="str">
        <f aca="false">IF(Underwriting!$A29="","",ROUND(Z$2*$C30,-3))</f>
        <v/>
      </c>
      <c r="AA30" s="26" t="str">
        <f aca="false">IF(Underwriting!$A29="","",Underwriting!$T29-((Z30)*(1+BuyerPremium)+IF(N(Deals!S29)=0,0,MIN(N(Deals!S29),MAX(0,N(Deals!S29)+SheriffCostsFromBid-(Z30)*(1-RTTPurchase))))))</f>
        <v/>
      </c>
      <c r="AB30" s="27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27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26" t="str">
        <f aca="false">IF(Underwriting!$A29="","",ROUND(AD$2*$C30,-3))</f>
        <v/>
      </c>
      <c r="AE30" s="26" t="str">
        <f aca="false">IF(Underwriting!$A29="","",Underwriting!$T29-((AD30)*(1+BuyerPremium)+IF(N(Deals!S29)=0,0,MIN(N(Deals!S29),MAX(0,N(Deals!S29)+SheriffCostsFromBid-(AD30)*(1-RTTPurchase))))))</f>
        <v/>
      </c>
      <c r="AF30" s="27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27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26" t="str">
        <f aca="false">IF(Underwriting!$A29="","",$E30)</f>
        <v/>
      </c>
      <c r="AI30" s="26" t="str">
        <f aca="false">IF(Underwriting!$A29="","",Underwriting!$T29-((AH30)*(1+BuyerPremium)+IF(N(Deals!S29)=0,0,MIN(N(Deals!S29),MAX(0,N(Deals!S29)+SheriffCostsFromBid-(AH30)*(1-RTTPurchase))))))</f>
        <v/>
      </c>
      <c r="AJ30" s="27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27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false" outlineLevel="0" collapsed="false">
      <c r="A31" s="0" t="str">
        <f aca="false">Underwriting!$A30</f>
        <v/>
      </c>
      <c r="B31" s="0" t="str">
        <f aca="false">Underwriting!$B30</f>
        <v/>
      </c>
      <c r="C31" s="26" t="str">
        <f aca="false">IF(Underwriting!$A30="","",N(Deals!M30))</f>
        <v/>
      </c>
      <c r="D31" s="26" t="str">
        <f aca="false">IF(Underwriting!$A30="","",N(Deals!D30))</f>
        <v/>
      </c>
      <c r="E31" s="26" t="str">
        <f aca="false">IF(Underwriting!$A30="","",Underwriting!$D30)</f>
        <v/>
      </c>
      <c r="F31" s="26" t="str">
        <f aca="false">IF(Underwriting!$A30="","",$D31)</f>
        <v/>
      </c>
      <c r="G31" s="26" t="str">
        <f aca="false">IF(Underwriting!$A30="","",Underwriting!$T30-((F31)*(1+BuyerPremium)+IF(N(Deals!S30)=0,0,MIN(N(Deals!S30),MAX(0,N(Deals!S30)+SheriffCostsFromBid-(F31)*(1-RTTPurchase))))))</f>
        <v/>
      </c>
      <c r="H31" s="27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27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26" t="str">
        <f aca="false">IF(Underwriting!$A30="","",ROUND(J$2*$C31,-3))</f>
        <v/>
      </c>
      <c r="K31" s="26" t="str">
        <f aca="false">IF(Underwriting!$A30="","",Underwriting!$T30-((J31)*(1+BuyerPremium)+IF(N(Deals!S30)=0,0,MIN(N(Deals!S30),MAX(0,N(Deals!S30)+SheriffCostsFromBid-(J31)*(1-RTTPurchase))))))</f>
        <v/>
      </c>
      <c r="L31" s="27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27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26" t="str">
        <f aca="false">IF(Underwriting!$A30="","",ROUND(N$2*$C31,-3))</f>
        <v/>
      </c>
      <c r="O31" s="26" t="str">
        <f aca="false">IF(Underwriting!$A30="","",Underwriting!$T30-((N31)*(1+BuyerPremium)+IF(N(Deals!S30)=0,0,MIN(N(Deals!S30),MAX(0,N(Deals!S30)+SheriffCostsFromBid-(N31)*(1-RTTPurchase))))))</f>
        <v/>
      </c>
      <c r="P31" s="27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27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26" t="str">
        <f aca="false">IF(Underwriting!$A30="","",ROUND(R$2*$C31,-3))</f>
        <v/>
      </c>
      <c r="S31" s="26" t="str">
        <f aca="false">IF(Underwriting!$A30="","",Underwriting!$T30-((R31)*(1+BuyerPremium)+IF(N(Deals!S30)=0,0,MIN(N(Deals!S30),MAX(0,N(Deals!S30)+SheriffCostsFromBid-(R31)*(1-RTTPurchase))))))</f>
        <v/>
      </c>
      <c r="T31" s="27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27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26" t="str">
        <f aca="false">IF(Underwriting!$A30="","",ROUND(V$2*$C31,-3))</f>
        <v/>
      </c>
      <c r="W31" s="26" t="str">
        <f aca="false">IF(Underwriting!$A30="","",Underwriting!$T30-((V31)*(1+BuyerPremium)+IF(N(Deals!S30)=0,0,MIN(N(Deals!S30),MAX(0,N(Deals!S30)+SheriffCostsFromBid-(V31)*(1-RTTPurchase))))))</f>
        <v/>
      </c>
      <c r="X31" s="27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27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26" t="str">
        <f aca="false">IF(Underwriting!$A30="","",ROUND(Z$2*$C31,-3))</f>
        <v/>
      </c>
      <c r="AA31" s="26" t="str">
        <f aca="false">IF(Underwriting!$A30="","",Underwriting!$T30-((Z31)*(1+BuyerPremium)+IF(N(Deals!S30)=0,0,MIN(N(Deals!S30),MAX(0,N(Deals!S30)+SheriffCostsFromBid-(Z31)*(1-RTTPurchase))))))</f>
        <v/>
      </c>
      <c r="AB31" s="27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27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26" t="str">
        <f aca="false">IF(Underwriting!$A30="","",ROUND(AD$2*$C31,-3))</f>
        <v/>
      </c>
      <c r="AE31" s="26" t="str">
        <f aca="false">IF(Underwriting!$A30="","",Underwriting!$T30-((AD31)*(1+BuyerPremium)+IF(N(Deals!S30)=0,0,MIN(N(Deals!S30),MAX(0,N(Deals!S30)+SheriffCostsFromBid-(AD31)*(1-RTTPurchase))))))</f>
        <v/>
      </c>
      <c r="AF31" s="27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27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26" t="str">
        <f aca="false">IF(Underwriting!$A30="","",$E31)</f>
        <v/>
      </c>
      <c r="AI31" s="26" t="str">
        <f aca="false">IF(Underwriting!$A30="","",Underwriting!$T30-((AH31)*(1+BuyerPremium)+IF(N(Deals!S30)=0,0,MIN(N(Deals!S30),MAX(0,N(Deals!S30)+SheriffCostsFromBid-(AH31)*(1-RTTPurchase))))))</f>
        <v/>
      </c>
      <c r="AJ31" s="27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27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false" outlineLevel="0" collapsed="false">
      <c r="A32" s="0" t="str">
        <f aca="false">Underwriting!$A31</f>
        <v/>
      </c>
      <c r="B32" s="0" t="str">
        <f aca="false">Underwriting!$B31</f>
        <v/>
      </c>
      <c r="C32" s="26" t="str">
        <f aca="false">IF(Underwriting!$A31="","",N(Deals!M31))</f>
        <v/>
      </c>
      <c r="D32" s="26" t="str">
        <f aca="false">IF(Underwriting!$A31="","",N(Deals!D31))</f>
        <v/>
      </c>
      <c r="E32" s="26" t="str">
        <f aca="false">IF(Underwriting!$A31="","",Underwriting!$D31)</f>
        <v/>
      </c>
      <c r="F32" s="26" t="str">
        <f aca="false">IF(Underwriting!$A31="","",$D32)</f>
        <v/>
      </c>
      <c r="G32" s="26" t="str">
        <f aca="false">IF(Underwriting!$A31="","",Underwriting!$T31-((F32)*(1+BuyerPremium)+IF(N(Deals!S31)=0,0,MIN(N(Deals!S31),MAX(0,N(Deals!S31)+SheriffCostsFromBid-(F32)*(1-RTTPurchase))))))</f>
        <v/>
      </c>
      <c r="H32" s="27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27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26" t="str">
        <f aca="false">IF(Underwriting!$A31="","",ROUND(J$2*$C32,-3))</f>
        <v/>
      </c>
      <c r="K32" s="26" t="str">
        <f aca="false">IF(Underwriting!$A31="","",Underwriting!$T31-((J32)*(1+BuyerPremium)+IF(N(Deals!S31)=0,0,MIN(N(Deals!S31),MAX(0,N(Deals!S31)+SheriffCostsFromBid-(J32)*(1-RTTPurchase))))))</f>
        <v/>
      </c>
      <c r="L32" s="27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27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26" t="str">
        <f aca="false">IF(Underwriting!$A31="","",ROUND(N$2*$C32,-3))</f>
        <v/>
      </c>
      <c r="O32" s="26" t="str">
        <f aca="false">IF(Underwriting!$A31="","",Underwriting!$T31-((N32)*(1+BuyerPremium)+IF(N(Deals!S31)=0,0,MIN(N(Deals!S31),MAX(0,N(Deals!S31)+SheriffCostsFromBid-(N32)*(1-RTTPurchase))))))</f>
        <v/>
      </c>
      <c r="P32" s="27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27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26" t="str">
        <f aca="false">IF(Underwriting!$A31="","",ROUND(R$2*$C32,-3))</f>
        <v/>
      </c>
      <c r="S32" s="26" t="str">
        <f aca="false">IF(Underwriting!$A31="","",Underwriting!$T31-((R32)*(1+BuyerPremium)+IF(N(Deals!S31)=0,0,MIN(N(Deals!S31),MAX(0,N(Deals!S31)+SheriffCostsFromBid-(R32)*(1-RTTPurchase))))))</f>
        <v/>
      </c>
      <c r="T32" s="27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27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26" t="str">
        <f aca="false">IF(Underwriting!$A31="","",ROUND(V$2*$C32,-3))</f>
        <v/>
      </c>
      <c r="W32" s="26" t="str">
        <f aca="false">IF(Underwriting!$A31="","",Underwriting!$T31-((V32)*(1+BuyerPremium)+IF(N(Deals!S31)=0,0,MIN(N(Deals!S31),MAX(0,N(Deals!S31)+SheriffCostsFromBid-(V32)*(1-RTTPurchase))))))</f>
        <v/>
      </c>
      <c r="X32" s="27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27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26" t="str">
        <f aca="false">IF(Underwriting!$A31="","",ROUND(Z$2*$C32,-3))</f>
        <v/>
      </c>
      <c r="AA32" s="26" t="str">
        <f aca="false">IF(Underwriting!$A31="","",Underwriting!$T31-((Z32)*(1+BuyerPremium)+IF(N(Deals!S31)=0,0,MIN(N(Deals!S31),MAX(0,N(Deals!S31)+SheriffCostsFromBid-(Z32)*(1-RTTPurchase))))))</f>
        <v/>
      </c>
      <c r="AB32" s="27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27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26" t="str">
        <f aca="false">IF(Underwriting!$A31="","",ROUND(AD$2*$C32,-3))</f>
        <v/>
      </c>
      <c r="AE32" s="26" t="str">
        <f aca="false">IF(Underwriting!$A31="","",Underwriting!$T31-((AD32)*(1+BuyerPremium)+IF(N(Deals!S31)=0,0,MIN(N(Deals!S31),MAX(0,N(Deals!S31)+SheriffCostsFromBid-(AD32)*(1-RTTPurchase))))))</f>
        <v/>
      </c>
      <c r="AF32" s="27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27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26" t="str">
        <f aca="false">IF(Underwriting!$A31="","",$E32)</f>
        <v/>
      </c>
      <c r="AI32" s="26" t="str">
        <f aca="false">IF(Underwriting!$A31="","",Underwriting!$T31-((AH32)*(1+BuyerPremium)+IF(N(Deals!S31)=0,0,MIN(N(Deals!S31),MAX(0,N(Deals!S31)+SheriffCostsFromBid-(AH32)*(1-RTTPurchase))))))</f>
        <v/>
      </c>
      <c r="AJ32" s="27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27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false" outlineLevel="0" collapsed="false">
      <c r="A33" s="0" t="str">
        <f aca="false">Underwriting!$A32</f>
        <v/>
      </c>
      <c r="B33" s="0" t="str">
        <f aca="false">Underwriting!$B32</f>
        <v/>
      </c>
      <c r="C33" s="26" t="str">
        <f aca="false">IF(Underwriting!$A32="","",N(Deals!M32))</f>
        <v/>
      </c>
      <c r="D33" s="26" t="str">
        <f aca="false">IF(Underwriting!$A32="","",N(Deals!D32))</f>
        <v/>
      </c>
      <c r="E33" s="26" t="str">
        <f aca="false">IF(Underwriting!$A32="","",Underwriting!$D32)</f>
        <v/>
      </c>
      <c r="F33" s="26" t="str">
        <f aca="false">IF(Underwriting!$A32="","",$D33)</f>
        <v/>
      </c>
      <c r="G33" s="26" t="str">
        <f aca="false">IF(Underwriting!$A32="","",Underwriting!$T32-((F33)*(1+BuyerPremium)+IF(N(Deals!S32)=0,0,MIN(N(Deals!S32),MAX(0,N(Deals!S32)+SheriffCostsFromBid-(F33)*(1-RTTPurchase))))))</f>
        <v/>
      </c>
      <c r="H33" s="27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27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26" t="str">
        <f aca="false">IF(Underwriting!$A32="","",ROUND(J$2*$C33,-3))</f>
        <v/>
      </c>
      <c r="K33" s="26" t="str">
        <f aca="false">IF(Underwriting!$A32="","",Underwriting!$T32-((J33)*(1+BuyerPremium)+IF(N(Deals!S32)=0,0,MIN(N(Deals!S32),MAX(0,N(Deals!S32)+SheriffCostsFromBid-(J33)*(1-RTTPurchase))))))</f>
        <v/>
      </c>
      <c r="L33" s="27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27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26" t="str">
        <f aca="false">IF(Underwriting!$A32="","",ROUND(N$2*$C33,-3))</f>
        <v/>
      </c>
      <c r="O33" s="26" t="str">
        <f aca="false">IF(Underwriting!$A32="","",Underwriting!$T32-((N33)*(1+BuyerPremium)+IF(N(Deals!S32)=0,0,MIN(N(Deals!S32),MAX(0,N(Deals!S32)+SheriffCostsFromBid-(N33)*(1-RTTPurchase))))))</f>
        <v/>
      </c>
      <c r="P33" s="27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27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26" t="str">
        <f aca="false">IF(Underwriting!$A32="","",ROUND(R$2*$C33,-3))</f>
        <v/>
      </c>
      <c r="S33" s="26" t="str">
        <f aca="false">IF(Underwriting!$A32="","",Underwriting!$T32-((R33)*(1+BuyerPremium)+IF(N(Deals!S32)=0,0,MIN(N(Deals!S32),MAX(0,N(Deals!S32)+SheriffCostsFromBid-(R33)*(1-RTTPurchase))))))</f>
        <v/>
      </c>
      <c r="T33" s="27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27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26" t="str">
        <f aca="false">IF(Underwriting!$A32="","",ROUND(V$2*$C33,-3))</f>
        <v/>
      </c>
      <c r="W33" s="26" t="str">
        <f aca="false">IF(Underwriting!$A32="","",Underwriting!$T32-((V33)*(1+BuyerPremium)+IF(N(Deals!S32)=0,0,MIN(N(Deals!S32),MAX(0,N(Deals!S32)+SheriffCostsFromBid-(V33)*(1-RTTPurchase))))))</f>
        <v/>
      </c>
      <c r="X33" s="27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27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26" t="str">
        <f aca="false">IF(Underwriting!$A32="","",ROUND(Z$2*$C33,-3))</f>
        <v/>
      </c>
      <c r="AA33" s="26" t="str">
        <f aca="false">IF(Underwriting!$A32="","",Underwriting!$T32-((Z33)*(1+BuyerPremium)+IF(N(Deals!S32)=0,0,MIN(N(Deals!S32),MAX(0,N(Deals!S32)+SheriffCostsFromBid-(Z33)*(1-RTTPurchase))))))</f>
        <v/>
      </c>
      <c r="AB33" s="27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27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26" t="str">
        <f aca="false">IF(Underwriting!$A32="","",ROUND(AD$2*$C33,-3))</f>
        <v/>
      </c>
      <c r="AE33" s="26" t="str">
        <f aca="false">IF(Underwriting!$A32="","",Underwriting!$T32-((AD33)*(1+BuyerPremium)+IF(N(Deals!S32)=0,0,MIN(N(Deals!S32),MAX(0,N(Deals!S32)+SheriffCostsFromBid-(AD33)*(1-RTTPurchase))))))</f>
        <v/>
      </c>
      <c r="AF33" s="27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27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26" t="str">
        <f aca="false">IF(Underwriting!$A32="","",$E33)</f>
        <v/>
      </c>
      <c r="AI33" s="26" t="str">
        <f aca="false">IF(Underwriting!$A32="","",Underwriting!$T32-((AH33)*(1+BuyerPremium)+IF(N(Deals!S32)=0,0,MIN(N(Deals!S32),MAX(0,N(Deals!S32)+SheriffCostsFromBid-(AH33)*(1-RTTPurchase))))))</f>
        <v/>
      </c>
      <c r="AJ33" s="27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27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false" outlineLevel="0" collapsed="false">
      <c r="A34" s="0" t="str">
        <f aca="false">Underwriting!$A33</f>
        <v/>
      </c>
      <c r="B34" s="0" t="str">
        <f aca="false">Underwriting!$B33</f>
        <v/>
      </c>
      <c r="C34" s="26" t="str">
        <f aca="false">IF(Underwriting!$A33="","",N(Deals!M33))</f>
        <v/>
      </c>
      <c r="D34" s="26" t="str">
        <f aca="false">IF(Underwriting!$A33="","",N(Deals!D33))</f>
        <v/>
      </c>
      <c r="E34" s="26" t="str">
        <f aca="false">IF(Underwriting!$A33="","",Underwriting!$D33)</f>
        <v/>
      </c>
      <c r="F34" s="26" t="str">
        <f aca="false">IF(Underwriting!$A33="","",$D34)</f>
        <v/>
      </c>
      <c r="G34" s="26" t="str">
        <f aca="false">IF(Underwriting!$A33="","",Underwriting!$T33-((F34)*(1+BuyerPremium)+IF(N(Deals!S33)=0,0,MIN(N(Deals!S33),MAX(0,N(Deals!S33)+SheriffCostsFromBid-(F34)*(1-RTTPurchase))))))</f>
        <v/>
      </c>
      <c r="H34" s="27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27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26" t="str">
        <f aca="false">IF(Underwriting!$A33="","",ROUND(J$2*$C34,-3))</f>
        <v/>
      </c>
      <c r="K34" s="26" t="str">
        <f aca="false">IF(Underwriting!$A33="","",Underwriting!$T33-((J34)*(1+BuyerPremium)+IF(N(Deals!S33)=0,0,MIN(N(Deals!S33),MAX(0,N(Deals!S33)+SheriffCostsFromBid-(J34)*(1-RTTPurchase))))))</f>
        <v/>
      </c>
      <c r="L34" s="27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27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26" t="str">
        <f aca="false">IF(Underwriting!$A33="","",ROUND(N$2*$C34,-3))</f>
        <v/>
      </c>
      <c r="O34" s="26" t="str">
        <f aca="false">IF(Underwriting!$A33="","",Underwriting!$T33-((N34)*(1+BuyerPremium)+IF(N(Deals!S33)=0,0,MIN(N(Deals!S33),MAX(0,N(Deals!S33)+SheriffCostsFromBid-(N34)*(1-RTTPurchase))))))</f>
        <v/>
      </c>
      <c r="P34" s="27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27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26" t="str">
        <f aca="false">IF(Underwriting!$A33="","",ROUND(R$2*$C34,-3))</f>
        <v/>
      </c>
      <c r="S34" s="26" t="str">
        <f aca="false">IF(Underwriting!$A33="","",Underwriting!$T33-((R34)*(1+BuyerPremium)+IF(N(Deals!S33)=0,0,MIN(N(Deals!S33),MAX(0,N(Deals!S33)+SheriffCostsFromBid-(R34)*(1-RTTPurchase))))))</f>
        <v/>
      </c>
      <c r="T34" s="27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27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26" t="str">
        <f aca="false">IF(Underwriting!$A33="","",ROUND(V$2*$C34,-3))</f>
        <v/>
      </c>
      <c r="W34" s="26" t="str">
        <f aca="false">IF(Underwriting!$A33="","",Underwriting!$T33-((V34)*(1+BuyerPremium)+IF(N(Deals!S33)=0,0,MIN(N(Deals!S33),MAX(0,N(Deals!S33)+SheriffCostsFromBid-(V34)*(1-RTTPurchase))))))</f>
        <v/>
      </c>
      <c r="X34" s="27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27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26" t="str">
        <f aca="false">IF(Underwriting!$A33="","",ROUND(Z$2*$C34,-3))</f>
        <v/>
      </c>
      <c r="AA34" s="26" t="str">
        <f aca="false">IF(Underwriting!$A33="","",Underwriting!$T33-((Z34)*(1+BuyerPremium)+IF(N(Deals!S33)=0,0,MIN(N(Deals!S33),MAX(0,N(Deals!S33)+SheriffCostsFromBid-(Z34)*(1-RTTPurchase))))))</f>
        <v/>
      </c>
      <c r="AB34" s="27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27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26" t="str">
        <f aca="false">IF(Underwriting!$A33="","",ROUND(AD$2*$C34,-3))</f>
        <v/>
      </c>
      <c r="AE34" s="26" t="str">
        <f aca="false">IF(Underwriting!$A33="","",Underwriting!$T33-((AD34)*(1+BuyerPremium)+IF(N(Deals!S33)=0,0,MIN(N(Deals!S33),MAX(0,N(Deals!S33)+SheriffCostsFromBid-(AD34)*(1-RTTPurchase))))))</f>
        <v/>
      </c>
      <c r="AF34" s="27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27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26" t="str">
        <f aca="false">IF(Underwriting!$A33="","",$E34)</f>
        <v/>
      </c>
      <c r="AI34" s="26" t="str">
        <f aca="false">IF(Underwriting!$A33="","",Underwriting!$T33-((AH34)*(1+BuyerPremium)+IF(N(Deals!S33)=0,0,MIN(N(Deals!S33),MAX(0,N(Deals!S33)+SheriffCostsFromBid-(AH34)*(1-RTTPurchase))))))</f>
        <v/>
      </c>
      <c r="AJ34" s="27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27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false" outlineLevel="0" collapsed="false">
      <c r="A35" s="0" t="str">
        <f aca="false">Underwriting!$A34</f>
        <v/>
      </c>
      <c r="B35" s="0" t="str">
        <f aca="false">Underwriting!$B34</f>
        <v/>
      </c>
      <c r="C35" s="26" t="str">
        <f aca="false">IF(Underwriting!$A34="","",N(Deals!M34))</f>
        <v/>
      </c>
      <c r="D35" s="26" t="str">
        <f aca="false">IF(Underwriting!$A34="","",N(Deals!D34))</f>
        <v/>
      </c>
      <c r="E35" s="26" t="str">
        <f aca="false">IF(Underwriting!$A34="","",Underwriting!$D34)</f>
        <v/>
      </c>
      <c r="F35" s="26" t="str">
        <f aca="false">IF(Underwriting!$A34="","",$D35)</f>
        <v/>
      </c>
      <c r="G35" s="26" t="str">
        <f aca="false">IF(Underwriting!$A34="","",Underwriting!$T34-((F35)*(1+BuyerPremium)+IF(N(Deals!S34)=0,0,MIN(N(Deals!S34),MAX(0,N(Deals!S34)+SheriffCostsFromBid-(F35)*(1-RTTPurchase))))))</f>
        <v/>
      </c>
      <c r="H35" s="27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27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26" t="str">
        <f aca="false">IF(Underwriting!$A34="","",ROUND(J$2*$C35,-3))</f>
        <v/>
      </c>
      <c r="K35" s="26" t="str">
        <f aca="false">IF(Underwriting!$A34="","",Underwriting!$T34-((J35)*(1+BuyerPremium)+IF(N(Deals!S34)=0,0,MIN(N(Deals!S34),MAX(0,N(Deals!S34)+SheriffCostsFromBid-(J35)*(1-RTTPurchase))))))</f>
        <v/>
      </c>
      <c r="L35" s="27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27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26" t="str">
        <f aca="false">IF(Underwriting!$A34="","",ROUND(N$2*$C35,-3))</f>
        <v/>
      </c>
      <c r="O35" s="26" t="str">
        <f aca="false">IF(Underwriting!$A34="","",Underwriting!$T34-((N35)*(1+BuyerPremium)+IF(N(Deals!S34)=0,0,MIN(N(Deals!S34),MAX(0,N(Deals!S34)+SheriffCostsFromBid-(N35)*(1-RTTPurchase))))))</f>
        <v/>
      </c>
      <c r="P35" s="27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27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26" t="str">
        <f aca="false">IF(Underwriting!$A34="","",ROUND(R$2*$C35,-3))</f>
        <v/>
      </c>
      <c r="S35" s="26" t="str">
        <f aca="false">IF(Underwriting!$A34="","",Underwriting!$T34-((R35)*(1+BuyerPremium)+IF(N(Deals!S34)=0,0,MIN(N(Deals!S34),MAX(0,N(Deals!S34)+SheriffCostsFromBid-(R35)*(1-RTTPurchase))))))</f>
        <v/>
      </c>
      <c r="T35" s="27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27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26" t="str">
        <f aca="false">IF(Underwriting!$A34="","",ROUND(V$2*$C35,-3))</f>
        <v/>
      </c>
      <c r="W35" s="26" t="str">
        <f aca="false">IF(Underwriting!$A34="","",Underwriting!$T34-((V35)*(1+BuyerPremium)+IF(N(Deals!S34)=0,0,MIN(N(Deals!S34),MAX(0,N(Deals!S34)+SheriffCostsFromBid-(V35)*(1-RTTPurchase))))))</f>
        <v/>
      </c>
      <c r="X35" s="27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27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26" t="str">
        <f aca="false">IF(Underwriting!$A34="","",ROUND(Z$2*$C35,-3))</f>
        <v/>
      </c>
      <c r="AA35" s="26" t="str">
        <f aca="false">IF(Underwriting!$A34="","",Underwriting!$T34-((Z35)*(1+BuyerPremium)+IF(N(Deals!S34)=0,0,MIN(N(Deals!S34),MAX(0,N(Deals!S34)+SheriffCostsFromBid-(Z35)*(1-RTTPurchase))))))</f>
        <v/>
      </c>
      <c r="AB35" s="27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27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26" t="str">
        <f aca="false">IF(Underwriting!$A34="","",ROUND(AD$2*$C35,-3))</f>
        <v/>
      </c>
      <c r="AE35" s="26" t="str">
        <f aca="false">IF(Underwriting!$A34="","",Underwriting!$T34-((AD35)*(1+BuyerPremium)+IF(N(Deals!S34)=0,0,MIN(N(Deals!S34),MAX(0,N(Deals!S34)+SheriffCostsFromBid-(AD35)*(1-RTTPurchase))))))</f>
        <v/>
      </c>
      <c r="AF35" s="27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27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26" t="str">
        <f aca="false">IF(Underwriting!$A34="","",$E35)</f>
        <v/>
      </c>
      <c r="AI35" s="26" t="str">
        <f aca="false">IF(Underwriting!$A34="","",Underwriting!$T34-((AH35)*(1+BuyerPremium)+IF(N(Deals!S34)=0,0,MIN(N(Deals!S34),MAX(0,N(Deals!S34)+SheriffCostsFromBid-(AH35)*(1-RTTPurchase))))))</f>
        <v/>
      </c>
      <c r="AJ35" s="27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27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false" outlineLevel="0" collapsed="false">
      <c r="A36" s="0" t="str">
        <f aca="false">Underwriting!$A35</f>
        <v/>
      </c>
      <c r="B36" s="0" t="str">
        <f aca="false">Underwriting!$B35</f>
        <v/>
      </c>
      <c r="C36" s="26" t="str">
        <f aca="false">IF(Underwriting!$A35="","",N(Deals!M35))</f>
        <v/>
      </c>
      <c r="D36" s="26" t="str">
        <f aca="false">IF(Underwriting!$A35="","",N(Deals!D35))</f>
        <v/>
      </c>
      <c r="E36" s="26" t="str">
        <f aca="false">IF(Underwriting!$A35="","",Underwriting!$D35)</f>
        <v/>
      </c>
      <c r="F36" s="26" t="str">
        <f aca="false">IF(Underwriting!$A35="","",$D36)</f>
        <v/>
      </c>
      <c r="G36" s="26" t="str">
        <f aca="false">IF(Underwriting!$A35="","",Underwriting!$T35-((F36)*(1+BuyerPremium)+IF(N(Deals!S35)=0,0,MIN(N(Deals!S35),MAX(0,N(Deals!S35)+SheriffCostsFromBid-(F36)*(1-RTTPurchase))))))</f>
        <v/>
      </c>
      <c r="H36" s="27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27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26" t="str">
        <f aca="false">IF(Underwriting!$A35="","",ROUND(J$2*$C36,-3))</f>
        <v/>
      </c>
      <c r="K36" s="26" t="str">
        <f aca="false">IF(Underwriting!$A35="","",Underwriting!$T35-((J36)*(1+BuyerPremium)+IF(N(Deals!S35)=0,0,MIN(N(Deals!S35),MAX(0,N(Deals!S35)+SheriffCostsFromBid-(J36)*(1-RTTPurchase))))))</f>
        <v/>
      </c>
      <c r="L36" s="27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27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26" t="str">
        <f aca="false">IF(Underwriting!$A35="","",ROUND(N$2*$C36,-3))</f>
        <v/>
      </c>
      <c r="O36" s="26" t="str">
        <f aca="false">IF(Underwriting!$A35="","",Underwriting!$T35-((N36)*(1+BuyerPremium)+IF(N(Deals!S35)=0,0,MIN(N(Deals!S35),MAX(0,N(Deals!S35)+SheriffCostsFromBid-(N36)*(1-RTTPurchase))))))</f>
        <v/>
      </c>
      <c r="P36" s="27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27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26" t="str">
        <f aca="false">IF(Underwriting!$A35="","",ROUND(R$2*$C36,-3))</f>
        <v/>
      </c>
      <c r="S36" s="26" t="str">
        <f aca="false">IF(Underwriting!$A35="","",Underwriting!$T35-((R36)*(1+BuyerPremium)+IF(N(Deals!S35)=0,0,MIN(N(Deals!S35),MAX(0,N(Deals!S35)+SheriffCostsFromBid-(R36)*(1-RTTPurchase))))))</f>
        <v/>
      </c>
      <c r="T36" s="27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27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26" t="str">
        <f aca="false">IF(Underwriting!$A35="","",ROUND(V$2*$C36,-3))</f>
        <v/>
      </c>
      <c r="W36" s="26" t="str">
        <f aca="false">IF(Underwriting!$A35="","",Underwriting!$T35-((V36)*(1+BuyerPremium)+IF(N(Deals!S35)=0,0,MIN(N(Deals!S35),MAX(0,N(Deals!S35)+SheriffCostsFromBid-(V36)*(1-RTTPurchase))))))</f>
        <v/>
      </c>
      <c r="X36" s="27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27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26" t="str">
        <f aca="false">IF(Underwriting!$A35="","",ROUND(Z$2*$C36,-3))</f>
        <v/>
      </c>
      <c r="AA36" s="26" t="str">
        <f aca="false">IF(Underwriting!$A35="","",Underwriting!$T35-((Z36)*(1+BuyerPremium)+IF(N(Deals!S35)=0,0,MIN(N(Deals!S35),MAX(0,N(Deals!S35)+SheriffCostsFromBid-(Z36)*(1-RTTPurchase))))))</f>
        <v/>
      </c>
      <c r="AB36" s="27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27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26" t="str">
        <f aca="false">IF(Underwriting!$A35="","",ROUND(AD$2*$C36,-3))</f>
        <v/>
      </c>
      <c r="AE36" s="26" t="str">
        <f aca="false">IF(Underwriting!$A35="","",Underwriting!$T35-((AD36)*(1+BuyerPremium)+IF(N(Deals!S35)=0,0,MIN(N(Deals!S35),MAX(0,N(Deals!S35)+SheriffCostsFromBid-(AD36)*(1-RTTPurchase))))))</f>
        <v/>
      </c>
      <c r="AF36" s="27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27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26" t="str">
        <f aca="false">IF(Underwriting!$A35="","",$E36)</f>
        <v/>
      </c>
      <c r="AI36" s="26" t="str">
        <f aca="false">IF(Underwriting!$A35="","",Underwriting!$T35-((AH36)*(1+BuyerPremium)+IF(N(Deals!S35)=0,0,MIN(N(Deals!S35),MAX(0,N(Deals!S35)+SheriffCostsFromBid-(AH36)*(1-RTTPurchase))))))</f>
        <v/>
      </c>
      <c r="AJ36" s="27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27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false" outlineLevel="0" collapsed="false">
      <c r="A37" s="0" t="str">
        <f aca="false">Underwriting!$A36</f>
        <v/>
      </c>
      <c r="B37" s="0" t="str">
        <f aca="false">Underwriting!$B36</f>
        <v/>
      </c>
      <c r="C37" s="26" t="str">
        <f aca="false">IF(Underwriting!$A36="","",N(Deals!M36))</f>
        <v/>
      </c>
      <c r="D37" s="26" t="str">
        <f aca="false">IF(Underwriting!$A36="","",N(Deals!D36))</f>
        <v/>
      </c>
      <c r="E37" s="26" t="str">
        <f aca="false">IF(Underwriting!$A36="","",Underwriting!$D36)</f>
        <v/>
      </c>
      <c r="F37" s="26" t="str">
        <f aca="false">IF(Underwriting!$A36="","",$D37)</f>
        <v/>
      </c>
      <c r="G37" s="26" t="str">
        <f aca="false">IF(Underwriting!$A36="","",Underwriting!$T36-((F37)*(1+BuyerPremium)+IF(N(Deals!S36)=0,0,MIN(N(Deals!S36),MAX(0,N(Deals!S36)+SheriffCostsFromBid-(F37)*(1-RTTPurchase))))))</f>
        <v/>
      </c>
      <c r="H37" s="27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27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26" t="str">
        <f aca="false">IF(Underwriting!$A36="","",ROUND(J$2*$C37,-3))</f>
        <v/>
      </c>
      <c r="K37" s="26" t="str">
        <f aca="false">IF(Underwriting!$A36="","",Underwriting!$T36-((J37)*(1+BuyerPremium)+IF(N(Deals!S36)=0,0,MIN(N(Deals!S36),MAX(0,N(Deals!S36)+SheriffCostsFromBid-(J37)*(1-RTTPurchase))))))</f>
        <v/>
      </c>
      <c r="L37" s="27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27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26" t="str">
        <f aca="false">IF(Underwriting!$A36="","",ROUND(N$2*$C37,-3))</f>
        <v/>
      </c>
      <c r="O37" s="26" t="str">
        <f aca="false">IF(Underwriting!$A36="","",Underwriting!$T36-((N37)*(1+BuyerPremium)+IF(N(Deals!S36)=0,0,MIN(N(Deals!S36),MAX(0,N(Deals!S36)+SheriffCostsFromBid-(N37)*(1-RTTPurchase))))))</f>
        <v/>
      </c>
      <c r="P37" s="27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27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26" t="str">
        <f aca="false">IF(Underwriting!$A36="","",ROUND(R$2*$C37,-3))</f>
        <v/>
      </c>
      <c r="S37" s="26" t="str">
        <f aca="false">IF(Underwriting!$A36="","",Underwriting!$T36-((R37)*(1+BuyerPremium)+IF(N(Deals!S36)=0,0,MIN(N(Deals!S36),MAX(0,N(Deals!S36)+SheriffCostsFromBid-(R37)*(1-RTTPurchase))))))</f>
        <v/>
      </c>
      <c r="T37" s="27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27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26" t="str">
        <f aca="false">IF(Underwriting!$A36="","",ROUND(V$2*$C37,-3))</f>
        <v/>
      </c>
      <c r="W37" s="26" t="str">
        <f aca="false">IF(Underwriting!$A36="","",Underwriting!$T36-((V37)*(1+BuyerPremium)+IF(N(Deals!S36)=0,0,MIN(N(Deals!S36),MAX(0,N(Deals!S36)+SheriffCostsFromBid-(V37)*(1-RTTPurchase))))))</f>
        <v/>
      </c>
      <c r="X37" s="27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27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26" t="str">
        <f aca="false">IF(Underwriting!$A36="","",ROUND(Z$2*$C37,-3))</f>
        <v/>
      </c>
      <c r="AA37" s="26" t="str">
        <f aca="false">IF(Underwriting!$A36="","",Underwriting!$T36-((Z37)*(1+BuyerPremium)+IF(N(Deals!S36)=0,0,MIN(N(Deals!S36),MAX(0,N(Deals!S36)+SheriffCostsFromBid-(Z37)*(1-RTTPurchase))))))</f>
        <v/>
      </c>
      <c r="AB37" s="27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27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26" t="str">
        <f aca="false">IF(Underwriting!$A36="","",ROUND(AD$2*$C37,-3))</f>
        <v/>
      </c>
      <c r="AE37" s="26" t="str">
        <f aca="false">IF(Underwriting!$A36="","",Underwriting!$T36-((AD37)*(1+BuyerPremium)+IF(N(Deals!S36)=0,0,MIN(N(Deals!S36),MAX(0,N(Deals!S36)+SheriffCostsFromBid-(AD37)*(1-RTTPurchase))))))</f>
        <v/>
      </c>
      <c r="AF37" s="27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27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26" t="str">
        <f aca="false">IF(Underwriting!$A36="","",$E37)</f>
        <v/>
      </c>
      <c r="AI37" s="26" t="str">
        <f aca="false">IF(Underwriting!$A36="","",Underwriting!$T36-((AH37)*(1+BuyerPremium)+IF(N(Deals!S36)=0,0,MIN(N(Deals!S36),MAX(0,N(Deals!S36)+SheriffCostsFromBid-(AH37)*(1-RTTPurchase))))))</f>
        <v/>
      </c>
      <c r="AJ37" s="27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27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false" outlineLevel="0" collapsed="false">
      <c r="A38" s="0" t="str">
        <f aca="false">Underwriting!$A37</f>
        <v/>
      </c>
      <c r="B38" s="0" t="str">
        <f aca="false">Underwriting!$B37</f>
        <v/>
      </c>
      <c r="C38" s="26" t="str">
        <f aca="false">IF(Underwriting!$A37="","",N(Deals!M37))</f>
        <v/>
      </c>
      <c r="D38" s="26" t="str">
        <f aca="false">IF(Underwriting!$A37="","",N(Deals!D37))</f>
        <v/>
      </c>
      <c r="E38" s="26" t="str">
        <f aca="false">IF(Underwriting!$A37="","",Underwriting!$D37)</f>
        <v/>
      </c>
      <c r="F38" s="26" t="str">
        <f aca="false">IF(Underwriting!$A37="","",$D38)</f>
        <v/>
      </c>
      <c r="G38" s="26" t="str">
        <f aca="false">IF(Underwriting!$A37="","",Underwriting!$T37-((F38)*(1+BuyerPremium)+IF(N(Deals!S37)=0,0,MIN(N(Deals!S37),MAX(0,N(Deals!S37)+SheriffCostsFromBid-(F38)*(1-RTTPurchase))))))</f>
        <v/>
      </c>
      <c r="H38" s="27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27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26" t="str">
        <f aca="false">IF(Underwriting!$A37="","",ROUND(J$2*$C38,-3))</f>
        <v/>
      </c>
      <c r="K38" s="26" t="str">
        <f aca="false">IF(Underwriting!$A37="","",Underwriting!$T37-((J38)*(1+BuyerPremium)+IF(N(Deals!S37)=0,0,MIN(N(Deals!S37),MAX(0,N(Deals!S37)+SheriffCostsFromBid-(J38)*(1-RTTPurchase))))))</f>
        <v/>
      </c>
      <c r="L38" s="27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27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26" t="str">
        <f aca="false">IF(Underwriting!$A37="","",ROUND(N$2*$C38,-3))</f>
        <v/>
      </c>
      <c r="O38" s="26" t="str">
        <f aca="false">IF(Underwriting!$A37="","",Underwriting!$T37-((N38)*(1+BuyerPremium)+IF(N(Deals!S37)=0,0,MIN(N(Deals!S37),MAX(0,N(Deals!S37)+SheriffCostsFromBid-(N38)*(1-RTTPurchase))))))</f>
        <v/>
      </c>
      <c r="P38" s="27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27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26" t="str">
        <f aca="false">IF(Underwriting!$A37="","",ROUND(R$2*$C38,-3))</f>
        <v/>
      </c>
      <c r="S38" s="26" t="str">
        <f aca="false">IF(Underwriting!$A37="","",Underwriting!$T37-((R38)*(1+BuyerPremium)+IF(N(Deals!S37)=0,0,MIN(N(Deals!S37),MAX(0,N(Deals!S37)+SheriffCostsFromBid-(R38)*(1-RTTPurchase))))))</f>
        <v/>
      </c>
      <c r="T38" s="27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27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26" t="str">
        <f aca="false">IF(Underwriting!$A37="","",ROUND(V$2*$C38,-3))</f>
        <v/>
      </c>
      <c r="W38" s="26" t="str">
        <f aca="false">IF(Underwriting!$A37="","",Underwriting!$T37-((V38)*(1+BuyerPremium)+IF(N(Deals!S37)=0,0,MIN(N(Deals!S37),MAX(0,N(Deals!S37)+SheriffCostsFromBid-(V38)*(1-RTTPurchase))))))</f>
        <v/>
      </c>
      <c r="X38" s="27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27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26" t="str">
        <f aca="false">IF(Underwriting!$A37="","",ROUND(Z$2*$C38,-3))</f>
        <v/>
      </c>
      <c r="AA38" s="26" t="str">
        <f aca="false">IF(Underwriting!$A37="","",Underwriting!$T37-((Z38)*(1+BuyerPremium)+IF(N(Deals!S37)=0,0,MIN(N(Deals!S37),MAX(0,N(Deals!S37)+SheriffCostsFromBid-(Z38)*(1-RTTPurchase))))))</f>
        <v/>
      </c>
      <c r="AB38" s="27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27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26" t="str">
        <f aca="false">IF(Underwriting!$A37="","",ROUND(AD$2*$C38,-3))</f>
        <v/>
      </c>
      <c r="AE38" s="26" t="str">
        <f aca="false">IF(Underwriting!$A37="","",Underwriting!$T37-((AD38)*(1+BuyerPremium)+IF(N(Deals!S37)=0,0,MIN(N(Deals!S37),MAX(0,N(Deals!S37)+SheriffCostsFromBid-(AD38)*(1-RTTPurchase))))))</f>
        <v/>
      </c>
      <c r="AF38" s="27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27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26" t="str">
        <f aca="false">IF(Underwriting!$A37="","",$E38)</f>
        <v/>
      </c>
      <c r="AI38" s="26" t="str">
        <f aca="false">IF(Underwriting!$A37="","",Underwriting!$T37-((AH38)*(1+BuyerPremium)+IF(N(Deals!S37)=0,0,MIN(N(Deals!S37),MAX(0,N(Deals!S37)+SheriffCostsFromBid-(AH38)*(1-RTTPurchase))))))</f>
        <v/>
      </c>
      <c r="AJ38" s="27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27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false" outlineLevel="0" collapsed="false">
      <c r="A39" s="0" t="str">
        <f aca="false">Underwriting!$A38</f>
        <v/>
      </c>
      <c r="B39" s="0" t="str">
        <f aca="false">Underwriting!$B38</f>
        <v/>
      </c>
      <c r="C39" s="26" t="str">
        <f aca="false">IF(Underwriting!$A38="","",N(Deals!M38))</f>
        <v/>
      </c>
      <c r="D39" s="26" t="str">
        <f aca="false">IF(Underwriting!$A38="","",N(Deals!D38))</f>
        <v/>
      </c>
      <c r="E39" s="26" t="str">
        <f aca="false">IF(Underwriting!$A38="","",Underwriting!$D38)</f>
        <v/>
      </c>
      <c r="F39" s="26" t="str">
        <f aca="false">IF(Underwriting!$A38="","",$D39)</f>
        <v/>
      </c>
      <c r="G39" s="26" t="str">
        <f aca="false">IF(Underwriting!$A38="","",Underwriting!$T38-((F39)*(1+BuyerPremium)+IF(N(Deals!S38)=0,0,MIN(N(Deals!S38),MAX(0,N(Deals!S38)+SheriffCostsFromBid-(F39)*(1-RTTPurchase))))))</f>
        <v/>
      </c>
      <c r="H39" s="27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27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26" t="str">
        <f aca="false">IF(Underwriting!$A38="","",ROUND(J$2*$C39,-3))</f>
        <v/>
      </c>
      <c r="K39" s="26" t="str">
        <f aca="false">IF(Underwriting!$A38="","",Underwriting!$T38-((J39)*(1+BuyerPremium)+IF(N(Deals!S38)=0,0,MIN(N(Deals!S38),MAX(0,N(Deals!S38)+SheriffCostsFromBid-(J39)*(1-RTTPurchase))))))</f>
        <v/>
      </c>
      <c r="L39" s="27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27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26" t="str">
        <f aca="false">IF(Underwriting!$A38="","",ROUND(N$2*$C39,-3))</f>
        <v/>
      </c>
      <c r="O39" s="26" t="str">
        <f aca="false">IF(Underwriting!$A38="","",Underwriting!$T38-((N39)*(1+BuyerPremium)+IF(N(Deals!S38)=0,0,MIN(N(Deals!S38),MAX(0,N(Deals!S38)+SheriffCostsFromBid-(N39)*(1-RTTPurchase))))))</f>
        <v/>
      </c>
      <c r="P39" s="27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27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26" t="str">
        <f aca="false">IF(Underwriting!$A38="","",ROUND(R$2*$C39,-3))</f>
        <v/>
      </c>
      <c r="S39" s="26" t="str">
        <f aca="false">IF(Underwriting!$A38="","",Underwriting!$T38-((R39)*(1+BuyerPremium)+IF(N(Deals!S38)=0,0,MIN(N(Deals!S38),MAX(0,N(Deals!S38)+SheriffCostsFromBid-(R39)*(1-RTTPurchase))))))</f>
        <v/>
      </c>
      <c r="T39" s="27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27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26" t="str">
        <f aca="false">IF(Underwriting!$A38="","",ROUND(V$2*$C39,-3))</f>
        <v/>
      </c>
      <c r="W39" s="26" t="str">
        <f aca="false">IF(Underwriting!$A38="","",Underwriting!$T38-((V39)*(1+BuyerPremium)+IF(N(Deals!S38)=0,0,MIN(N(Deals!S38),MAX(0,N(Deals!S38)+SheriffCostsFromBid-(V39)*(1-RTTPurchase))))))</f>
        <v/>
      </c>
      <c r="X39" s="27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27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26" t="str">
        <f aca="false">IF(Underwriting!$A38="","",ROUND(Z$2*$C39,-3))</f>
        <v/>
      </c>
      <c r="AA39" s="26" t="str">
        <f aca="false">IF(Underwriting!$A38="","",Underwriting!$T38-((Z39)*(1+BuyerPremium)+IF(N(Deals!S38)=0,0,MIN(N(Deals!S38),MAX(0,N(Deals!S38)+SheriffCostsFromBid-(Z39)*(1-RTTPurchase))))))</f>
        <v/>
      </c>
      <c r="AB39" s="27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27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26" t="str">
        <f aca="false">IF(Underwriting!$A38="","",ROUND(AD$2*$C39,-3))</f>
        <v/>
      </c>
      <c r="AE39" s="26" t="str">
        <f aca="false">IF(Underwriting!$A38="","",Underwriting!$T38-((AD39)*(1+BuyerPremium)+IF(N(Deals!S38)=0,0,MIN(N(Deals!S38),MAX(0,N(Deals!S38)+SheriffCostsFromBid-(AD39)*(1-RTTPurchase))))))</f>
        <v/>
      </c>
      <c r="AF39" s="27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27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26" t="str">
        <f aca="false">IF(Underwriting!$A38="","",$E39)</f>
        <v/>
      </c>
      <c r="AI39" s="26" t="str">
        <f aca="false">IF(Underwriting!$A38="","",Underwriting!$T38-((AH39)*(1+BuyerPremium)+IF(N(Deals!S38)=0,0,MIN(N(Deals!S38),MAX(0,N(Deals!S38)+SheriffCostsFromBid-(AH39)*(1-RTTPurchase))))))</f>
        <v/>
      </c>
      <c r="AJ39" s="27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27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false" outlineLevel="0" collapsed="false">
      <c r="A40" s="0" t="str">
        <f aca="false">Underwriting!$A39</f>
        <v/>
      </c>
      <c r="B40" s="0" t="str">
        <f aca="false">Underwriting!$B39</f>
        <v/>
      </c>
      <c r="C40" s="26" t="str">
        <f aca="false">IF(Underwriting!$A39="","",N(Deals!M39))</f>
        <v/>
      </c>
      <c r="D40" s="26" t="str">
        <f aca="false">IF(Underwriting!$A39="","",N(Deals!D39))</f>
        <v/>
      </c>
      <c r="E40" s="26" t="str">
        <f aca="false">IF(Underwriting!$A39="","",Underwriting!$D39)</f>
        <v/>
      </c>
      <c r="F40" s="26" t="str">
        <f aca="false">IF(Underwriting!$A39="","",$D40)</f>
        <v/>
      </c>
      <c r="G40" s="26" t="str">
        <f aca="false">IF(Underwriting!$A39="","",Underwriting!$T39-((F40)*(1+BuyerPremium)+IF(N(Deals!S39)=0,0,MIN(N(Deals!S39),MAX(0,N(Deals!S39)+SheriffCostsFromBid-(F40)*(1-RTTPurchase))))))</f>
        <v/>
      </c>
      <c r="H40" s="27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27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26" t="str">
        <f aca="false">IF(Underwriting!$A39="","",ROUND(J$2*$C40,-3))</f>
        <v/>
      </c>
      <c r="K40" s="26" t="str">
        <f aca="false">IF(Underwriting!$A39="","",Underwriting!$T39-((J40)*(1+BuyerPremium)+IF(N(Deals!S39)=0,0,MIN(N(Deals!S39),MAX(0,N(Deals!S39)+SheriffCostsFromBid-(J40)*(1-RTTPurchase))))))</f>
        <v/>
      </c>
      <c r="L40" s="27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27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26" t="str">
        <f aca="false">IF(Underwriting!$A39="","",ROUND(N$2*$C40,-3))</f>
        <v/>
      </c>
      <c r="O40" s="26" t="str">
        <f aca="false">IF(Underwriting!$A39="","",Underwriting!$T39-((N40)*(1+BuyerPremium)+IF(N(Deals!S39)=0,0,MIN(N(Deals!S39),MAX(0,N(Deals!S39)+SheriffCostsFromBid-(N40)*(1-RTTPurchase))))))</f>
        <v/>
      </c>
      <c r="P40" s="27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27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26" t="str">
        <f aca="false">IF(Underwriting!$A39="","",ROUND(R$2*$C40,-3))</f>
        <v/>
      </c>
      <c r="S40" s="26" t="str">
        <f aca="false">IF(Underwriting!$A39="","",Underwriting!$T39-((R40)*(1+BuyerPremium)+IF(N(Deals!S39)=0,0,MIN(N(Deals!S39),MAX(0,N(Deals!S39)+SheriffCostsFromBid-(R40)*(1-RTTPurchase))))))</f>
        <v/>
      </c>
      <c r="T40" s="27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27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26" t="str">
        <f aca="false">IF(Underwriting!$A39="","",ROUND(V$2*$C40,-3))</f>
        <v/>
      </c>
      <c r="W40" s="26" t="str">
        <f aca="false">IF(Underwriting!$A39="","",Underwriting!$T39-((V40)*(1+BuyerPremium)+IF(N(Deals!S39)=0,0,MIN(N(Deals!S39),MAX(0,N(Deals!S39)+SheriffCostsFromBid-(V40)*(1-RTTPurchase))))))</f>
        <v/>
      </c>
      <c r="X40" s="27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27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26" t="str">
        <f aca="false">IF(Underwriting!$A39="","",ROUND(Z$2*$C40,-3))</f>
        <v/>
      </c>
      <c r="AA40" s="26" t="str">
        <f aca="false">IF(Underwriting!$A39="","",Underwriting!$T39-((Z40)*(1+BuyerPremium)+IF(N(Deals!S39)=0,0,MIN(N(Deals!S39),MAX(0,N(Deals!S39)+SheriffCostsFromBid-(Z40)*(1-RTTPurchase))))))</f>
        <v/>
      </c>
      <c r="AB40" s="27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27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26" t="str">
        <f aca="false">IF(Underwriting!$A39="","",ROUND(AD$2*$C40,-3))</f>
        <v/>
      </c>
      <c r="AE40" s="26" t="str">
        <f aca="false">IF(Underwriting!$A39="","",Underwriting!$T39-((AD40)*(1+BuyerPremium)+IF(N(Deals!S39)=0,0,MIN(N(Deals!S39),MAX(0,N(Deals!S39)+SheriffCostsFromBid-(AD40)*(1-RTTPurchase))))))</f>
        <v/>
      </c>
      <c r="AF40" s="27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27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26" t="str">
        <f aca="false">IF(Underwriting!$A39="","",$E40)</f>
        <v/>
      </c>
      <c r="AI40" s="26" t="str">
        <f aca="false">IF(Underwriting!$A39="","",Underwriting!$T39-((AH40)*(1+BuyerPremium)+IF(N(Deals!S39)=0,0,MIN(N(Deals!S39),MAX(0,N(Deals!S39)+SheriffCostsFromBid-(AH40)*(1-RTTPurchase))))))</f>
        <v/>
      </c>
      <c r="AJ40" s="27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27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false" outlineLevel="0" collapsed="false">
      <c r="A41" s="0" t="str">
        <f aca="false">Underwriting!$A40</f>
        <v/>
      </c>
      <c r="B41" s="0" t="str">
        <f aca="false">Underwriting!$B40</f>
        <v/>
      </c>
      <c r="C41" s="26" t="str">
        <f aca="false">IF(Underwriting!$A40="","",N(Deals!M40))</f>
        <v/>
      </c>
      <c r="D41" s="26" t="str">
        <f aca="false">IF(Underwriting!$A40="","",N(Deals!D40))</f>
        <v/>
      </c>
      <c r="E41" s="26" t="str">
        <f aca="false">IF(Underwriting!$A40="","",Underwriting!$D40)</f>
        <v/>
      </c>
      <c r="F41" s="26" t="str">
        <f aca="false">IF(Underwriting!$A40="","",$D41)</f>
        <v/>
      </c>
      <c r="G41" s="26" t="str">
        <f aca="false">IF(Underwriting!$A40="","",Underwriting!$T40-((F41)*(1+BuyerPremium)+IF(N(Deals!S40)=0,0,MIN(N(Deals!S40),MAX(0,N(Deals!S40)+SheriffCostsFromBid-(F41)*(1-RTTPurchase))))))</f>
        <v/>
      </c>
      <c r="H41" s="27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27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26" t="str">
        <f aca="false">IF(Underwriting!$A40="","",ROUND(J$2*$C41,-3))</f>
        <v/>
      </c>
      <c r="K41" s="26" t="str">
        <f aca="false">IF(Underwriting!$A40="","",Underwriting!$T40-((J41)*(1+BuyerPremium)+IF(N(Deals!S40)=0,0,MIN(N(Deals!S40),MAX(0,N(Deals!S40)+SheriffCostsFromBid-(J41)*(1-RTTPurchase))))))</f>
        <v/>
      </c>
      <c r="L41" s="27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27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26" t="str">
        <f aca="false">IF(Underwriting!$A40="","",ROUND(N$2*$C41,-3))</f>
        <v/>
      </c>
      <c r="O41" s="26" t="str">
        <f aca="false">IF(Underwriting!$A40="","",Underwriting!$T40-((N41)*(1+BuyerPremium)+IF(N(Deals!S40)=0,0,MIN(N(Deals!S40),MAX(0,N(Deals!S40)+SheriffCostsFromBid-(N41)*(1-RTTPurchase))))))</f>
        <v/>
      </c>
      <c r="P41" s="27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27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26" t="str">
        <f aca="false">IF(Underwriting!$A40="","",ROUND(R$2*$C41,-3))</f>
        <v/>
      </c>
      <c r="S41" s="26" t="str">
        <f aca="false">IF(Underwriting!$A40="","",Underwriting!$T40-((R41)*(1+BuyerPremium)+IF(N(Deals!S40)=0,0,MIN(N(Deals!S40),MAX(0,N(Deals!S40)+SheriffCostsFromBid-(R41)*(1-RTTPurchase))))))</f>
        <v/>
      </c>
      <c r="T41" s="27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27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26" t="str">
        <f aca="false">IF(Underwriting!$A40="","",ROUND(V$2*$C41,-3))</f>
        <v/>
      </c>
      <c r="W41" s="26" t="str">
        <f aca="false">IF(Underwriting!$A40="","",Underwriting!$T40-((V41)*(1+BuyerPremium)+IF(N(Deals!S40)=0,0,MIN(N(Deals!S40),MAX(0,N(Deals!S40)+SheriffCostsFromBid-(V41)*(1-RTTPurchase))))))</f>
        <v/>
      </c>
      <c r="X41" s="27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27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26" t="str">
        <f aca="false">IF(Underwriting!$A40="","",ROUND(Z$2*$C41,-3))</f>
        <v/>
      </c>
      <c r="AA41" s="26" t="str">
        <f aca="false">IF(Underwriting!$A40="","",Underwriting!$T40-((Z41)*(1+BuyerPremium)+IF(N(Deals!S40)=0,0,MIN(N(Deals!S40),MAX(0,N(Deals!S40)+SheriffCostsFromBid-(Z41)*(1-RTTPurchase))))))</f>
        <v/>
      </c>
      <c r="AB41" s="27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27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26" t="str">
        <f aca="false">IF(Underwriting!$A40="","",ROUND(AD$2*$C41,-3))</f>
        <v/>
      </c>
      <c r="AE41" s="26" t="str">
        <f aca="false">IF(Underwriting!$A40="","",Underwriting!$T40-((AD41)*(1+BuyerPremium)+IF(N(Deals!S40)=0,0,MIN(N(Deals!S40),MAX(0,N(Deals!S40)+SheriffCostsFromBid-(AD41)*(1-RTTPurchase))))))</f>
        <v/>
      </c>
      <c r="AF41" s="27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27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26" t="str">
        <f aca="false">IF(Underwriting!$A40="","",$E41)</f>
        <v/>
      </c>
      <c r="AI41" s="26" t="str">
        <f aca="false">IF(Underwriting!$A40="","",Underwriting!$T40-((AH41)*(1+BuyerPremium)+IF(N(Deals!S40)=0,0,MIN(N(Deals!S40),MAX(0,N(Deals!S40)+SheriffCostsFromBid-(AH41)*(1-RTTPurchase))))))</f>
        <v/>
      </c>
      <c r="AJ41" s="27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27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false" outlineLevel="0" collapsed="false">
      <c r="A42" s="0" t="str">
        <f aca="false">Underwriting!$A41</f>
        <v/>
      </c>
      <c r="B42" s="0" t="str">
        <f aca="false">Underwriting!$B41</f>
        <v/>
      </c>
      <c r="C42" s="26" t="str">
        <f aca="false">IF(Underwriting!$A41="","",N(Deals!M41))</f>
        <v/>
      </c>
      <c r="D42" s="26" t="str">
        <f aca="false">IF(Underwriting!$A41="","",N(Deals!D41))</f>
        <v/>
      </c>
      <c r="E42" s="26" t="str">
        <f aca="false">IF(Underwriting!$A41="","",Underwriting!$D41)</f>
        <v/>
      </c>
      <c r="F42" s="26" t="str">
        <f aca="false">IF(Underwriting!$A41="","",$D42)</f>
        <v/>
      </c>
      <c r="G42" s="26" t="str">
        <f aca="false">IF(Underwriting!$A41="","",Underwriting!$T41-((F42)*(1+BuyerPremium)+IF(N(Deals!S41)=0,0,MIN(N(Deals!S41),MAX(0,N(Deals!S41)+SheriffCostsFromBid-(F42)*(1-RTTPurchase))))))</f>
        <v/>
      </c>
      <c r="H42" s="27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27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26" t="str">
        <f aca="false">IF(Underwriting!$A41="","",ROUND(J$2*$C42,-3))</f>
        <v/>
      </c>
      <c r="K42" s="26" t="str">
        <f aca="false">IF(Underwriting!$A41="","",Underwriting!$T41-((J42)*(1+BuyerPremium)+IF(N(Deals!S41)=0,0,MIN(N(Deals!S41),MAX(0,N(Deals!S41)+SheriffCostsFromBid-(J42)*(1-RTTPurchase))))))</f>
        <v/>
      </c>
      <c r="L42" s="27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27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26" t="str">
        <f aca="false">IF(Underwriting!$A41="","",ROUND(N$2*$C42,-3))</f>
        <v/>
      </c>
      <c r="O42" s="26" t="str">
        <f aca="false">IF(Underwriting!$A41="","",Underwriting!$T41-((N42)*(1+BuyerPremium)+IF(N(Deals!S41)=0,0,MIN(N(Deals!S41),MAX(0,N(Deals!S41)+SheriffCostsFromBid-(N42)*(1-RTTPurchase))))))</f>
        <v/>
      </c>
      <c r="P42" s="27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27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26" t="str">
        <f aca="false">IF(Underwriting!$A41="","",ROUND(R$2*$C42,-3))</f>
        <v/>
      </c>
      <c r="S42" s="26" t="str">
        <f aca="false">IF(Underwriting!$A41="","",Underwriting!$T41-((R42)*(1+BuyerPremium)+IF(N(Deals!S41)=0,0,MIN(N(Deals!S41),MAX(0,N(Deals!S41)+SheriffCostsFromBid-(R42)*(1-RTTPurchase))))))</f>
        <v/>
      </c>
      <c r="T42" s="27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27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26" t="str">
        <f aca="false">IF(Underwriting!$A41="","",ROUND(V$2*$C42,-3))</f>
        <v/>
      </c>
      <c r="W42" s="26" t="str">
        <f aca="false">IF(Underwriting!$A41="","",Underwriting!$T41-((V42)*(1+BuyerPremium)+IF(N(Deals!S41)=0,0,MIN(N(Deals!S41),MAX(0,N(Deals!S41)+SheriffCostsFromBid-(V42)*(1-RTTPurchase))))))</f>
        <v/>
      </c>
      <c r="X42" s="27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27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26" t="str">
        <f aca="false">IF(Underwriting!$A41="","",ROUND(Z$2*$C42,-3))</f>
        <v/>
      </c>
      <c r="AA42" s="26" t="str">
        <f aca="false">IF(Underwriting!$A41="","",Underwriting!$T41-((Z42)*(1+BuyerPremium)+IF(N(Deals!S41)=0,0,MIN(N(Deals!S41),MAX(0,N(Deals!S41)+SheriffCostsFromBid-(Z42)*(1-RTTPurchase))))))</f>
        <v/>
      </c>
      <c r="AB42" s="27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27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26" t="str">
        <f aca="false">IF(Underwriting!$A41="","",ROUND(AD$2*$C42,-3))</f>
        <v/>
      </c>
      <c r="AE42" s="26" t="str">
        <f aca="false">IF(Underwriting!$A41="","",Underwriting!$T41-((AD42)*(1+BuyerPremium)+IF(N(Deals!S41)=0,0,MIN(N(Deals!S41),MAX(0,N(Deals!S41)+SheriffCostsFromBid-(AD42)*(1-RTTPurchase))))))</f>
        <v/>
      </c>
      <c r="AF42" s="27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27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26" t="str">
        <f aca="false">IF(Underwriting!$A41="","",$E42)</f>
        <v/>
      </c>
      <c r="AI42" s="26" t="str">
        <f aca="false">IF(Underwriting!$A41="","",Underwriting!$T41-((AH42)*(1+BuyerPremium)+IF(N(Deals!S41)=0,0,MIN(N(Deals!S41),MAX(0,N(Deals!S41)+SheriffCostsFromBid-(AH42)*(1-RTTPurchase))))))</f>
        <v/>
      </c>
      <c r="AJ42" s="27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27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false" outlineLevel="0" collapsed="false">
      <c r="A43" s="0" t="str">
        <f aca="false">Underwriting!$A42</f>
        <v/>
      </c>
      <c r="B43" s="0" t="str">
        <f aca="false">Underwriting!$B42</f>
        <v/>
      </c>
      <c r="C43" s="26" t="str">
        <f aca="false">IF(Underwriting!$A42="","",N(Deals!M42))</f>
        <v/>
      </c>
      <c r="D43" s="26" t="str">
        <f aca="false">IF(Underwriting!$A42="","",N(Deals!D42))</f>
        <v/>
      </c>
      <c r="E43" s="26" t="str">
        <f aca="false">IF(Underwriting!$A42="","",Underwriting!$D42)</f>
        <v/>
      </c>
      <c r="F43" s="26" t="str">
        <f aca="false">IF(Underwriting!$A42="","",$D43)</f>
        <v/>
      </c>
      <c r="G43" s="26" t="str">
        <f aca="false">IF(Underwriting!$A42="","",Underwriting!$T42-((F43)*(1+BuyerPremium)+IF(N(Deals!S42)=0,0,MIN(N(Deals!S42),MAX(0,N(Deals!S42)+SheriffCostsFromBid-(F43)*(1-RTTPurchase))))))</f>
        <v/>
      </c>
      <c r="H43" s="27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27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26" t="str">
        <f aca="false">IF(Underwriting!$A42="","",ROUND(J$2*$C43,-3))</f>
        <v/>
      </c>
      <c r="K43" s="26" t="str">
        <f aca="false">IF(Underwriting!$A42="","",Underwriting!$T42-((J43)*(1+BuyerPremium)+IF(N(Deals!S42)=0,0,MIN(N(Deals!S42),MAX(0,N(Deals!S42)+SheriffCostsFromBid-(J43)*(1-RTTPurchase))))))</f>
        <v/>
      </c>
      <c r="L43" s="27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27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26" t="str">
        <f aca="false">IF(Underwriting!$A42="","",ROUND(N$2*$C43,-3))</f>
        <v/>
      </c>
      <c r="O43" s="26" t="str">
        <f aca="false">IF(Underwriting!$A42="","",Underwriting!$T42-((N43)*(1+BuyerPremium)+IF(N(Deals!S42)=0,0,MIN(N(Deals!S42),MAX(0,N(Deals!S42)+SheriffCostsFromBid-(N43)*(1-RTTPurchase))))))</f>
        <v/>
      </c>
      <c r="P43" s="27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27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26" t="str">
        <f aca="false">IF(Underwriting!$A42="","",ROUND(R$2*$C43,-3))</f>
        <v/>
      </c>
      <c r="S43" s="26" t="str">
        <f aca="false">IF(Underwriting!$A42="","",Underwriting!$T42-((R43)*(1+BuyerPremium)+IF(N(Deals!S42)=0,0,MIN(N(Deals!S42),MAX(0,N(Deals!S42)+SheriffCostsFromBid-(R43)*(1-RTTPurchase))))))</f>
        <v/>
      </c>
      <c r="T43" s="27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27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26" t="str">
        <f aca="false">IF(Underwriting!$A42="","",ROUND(V$2*$C43,-3))</f>
        <v/>
      </c>
      <c r="W43" s="26" t="str">
        <f aca="false">IF(Underwriting!$A42="","",Underwriting!$T42-((V43)*(1+BuyerPremium)+IF(N(Deals!S42)=0,0,MIN(N(Deals!S42),MAX(0,N(Deals!S42)+SheriffCostsFromBid-(V43)*(1-RTTPurchase))))))</f>
        <v/>
      </c>
      <c r="X43" s="27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27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26" t="str">
        <f aca="false">IF(Underwriting!$A42="","",ROUND(Z$2*$C43,-3))</f>
        <v/>
      </c>
      <c r="AA43" s="26" t="str">
        <f aca="false">IF(Underwriting!$A42="","",Underwriting!$T42-((Z43)*(1+BuyerPremium)+IF(N(Deals!S42)=0,0,MIN(N(Deals!S42),MAX(0,N(Deals!S42)+SheriffCostsFromBid-(Z43)*(1-RTTPurchase))))))</f>
        <v/>
      </c>
      <c r="AB43" s="27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27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26" t="str">
        <f aca="false">IF(Underwriting!$A42="","",ROUND(AD$2*$C43,-3))</f>
        <v/>
      </c>
      <c r="AE43" s="26" t="str">
        <f aca="false">IF(Underwriting!$A42="","",Underwriting!$T42-((AD43)*(1+BuyerPremium)+IF(N(Deals!S42)=0,0,MIN(N(Deals!S42),MAX(0,N(Deals!S42)+SheriffCostsFromBid-(AD43)*(1-RTTPurchase))))))</f>
        <v/>
      </c>
      <c r="AF43" s="27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27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26" t="str">
        <f aca="false">IF(Underwriting!$A42="","",$E43)</f>
        <v/>
      </c>
      <c r="AI43" s="26" t="str">
        <f aca="false">IF(Underwriting!$A42="","",Underwriting!$T42-((AH43)*(1+BuyerPremium)+IF(N(Deals!S42)=0,0,MIN(N(Deals!S42),MAX(0,N(Deals!S42)+SheriffCostsFromBid-(AH43)*(1-RTTPurchase))))))</f>
        <v/>
      </c>
      <c r="AJ43" s="27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27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11" min="3" style="0" width="14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8" t="s">
        <v>223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177</v>
      </c>
      <c r="D2" s="5" t="s">
        <v>218</v>
      </c>
      <c r="E2" s="5" t="s">
        <v>224</v>
      </c>
      <c r="F2" s="5" t="s">
        <v>225</v>
      </c>
      <c r="G2" s="5" t="s">
        <v>226</v>
      </c>
      <c r="H2" s="5" t="s">
        <v>227</v>
      </c>
      <c r="I2" s="5" t="s">
        <v>228</v>
      </c>
      <c r="J2" s="5" t="s">
        <v>229</v>
      </c>
      <c r="K2" s="5" t="s">
        <v>230</v>
      </c>
      <c r="L2" s="5" t="s">
        <v>231</v>
      </c>
    </row>
    <row r="3" customFormat="false" ht="15" hidden="false" customHeight="false" outlineLevel="0" collapsed="false">
      <c r="A3" s="0" t="str">
        <f aca="false">Underwriting!$A3</f>
        <v>1311511-0</v>
      </c>
      <c r="B3" s="0" t="str">
        <f aca="false">Underwriting!$B3</f>
        <v>0 Prior screen (ARV 695k, Medium, occupied)</v>
      </c>
      <c r="C3" s="0" t="str">
        <f aca="false">Underwriting!$C3</f>
        <v>Flip</v>
      </c>
      <c r="D3" s="26" t="n">
        <f aca="false">Underwriting!$D3</f>
        <v>327876.171119135</v>
      </c>
      <c r="E3" s="8" t="n">
        <f aca="false">IF(Underwriting!$A3="","",Underwriting!$D3)</f>
        <v>327876.171119135</v>
      </c>
      <c r="F3" s="11" t="str">
        <f aca="false">IF(Underwriting!$A3="","",IF(Underwriting!$D3&gt;0,"Y","N"))</f>
        <v>Y</v>
      </c>
      <c r="G3" s="26" t="n">
        <f aca="false">IF(Underwriting!$A3="","",N(E3)*(DownPct+BuyerPremium))</f>
        <v>37705.7596787006</v>
      </c>
      <c r="H3" s="26" t="n">
        <f aca="false">IF(Underwriting!$A3="","",IF(N(E3)&gt;0,N(E3)*(1-DownPct)+35,0))</f>
        <v>295123.554007222</v>
      </c>
      <c r="I3" s="26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156868.94845</v>
      </c>
      <c r="J3" s="26" t="n">
        <f aca="false">IF(Underwriting!$A3="","",G3+H3+I3)</f>
        <v>489698.262135922</v>
      </c>
      <c r="K3" s="26" t="n">
        <f aca="false">IF(Underwriting!$A3="","",SUMIF($F$3:F3,"Y",$J$3:J3))</f>
        <v>489698.262135922</v>
      </c>
      <c r="L3" s="0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$140,778 flip profit</v>
      </c>
    </row>
    <row r="4" customFormat="false" ht="15" hidden="false" customHeight="false" outlineLevel="0" collapsed="false">
      <c r="A4" s="0" t="str">
        <f aca="false">Underwriting!$A4</f>
        <v>1311511-1</v>
      </c>
      <c r="B4" s="0" t="str">
        <f aca="false">Underwriting!$B4</f>
        <v>1 Base: ARV 675k, Heavy (stalled 2019 demo), vacant</v>
      </c>
      <c r="C4" s="0" t="str">
        <f aca="false">Underwriting!$C4</f>
        <v>Flip</v>
      </c>
      <c r="D4" s="26" t="n">
        <f aca="false">Underwriting!$D4</f>
        <v>274353.790147783</v>
      </c>
      <c r="E4" s="8" t="n">
        <f aca="false">IF(Underwriting!$A4="","",Underwriting!$D4)</f>
        <v>274353.790147783</v>
      </c>
      <c r="F4" s="11" t="str">
        <f aca="false">IF(Underwriting!$A4="","",IF(Underwriting!$D4&gt;0,"Y","N"))</f>
        <v>Y</v>
      </c>
      <c r="G4" s="26" t="n">
        <f aca="false">IF(Underwriting!$A4="","",N(E4)*(DownPct+BuyerPremium))</f>
        <v>31550.6858669951</v>
      </c>
      <c r="H4" s="26" t="n">
        <f aca="false">IF(Underwriting!$A4="","",IF(N(E4)&gt;0,N(E4)*(1-DownPct)+35,0))</f>
        <v>246953.411133005</v>
      </c>
      <c r="I4" s="26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211370.303</v>
      </c>
      <c r="J4" s="26" t="n">
        <f aca="false">IF(Underwriting!$A4="","",G4+H4+I4)</f>
        <v>489874.4</v>
      </c>
      <c r="K4" s="26" t="n">
        <f aca="false">IF(Underwriting!$A4="","",SUMIF($F$3:F4,"Y",$J$3:J4))</f>
        <v>979572.662135922</v>
      </c>
      <c r="L4" s="0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$122,460 flip profit</v>
      </c>
    </row>
    <row r="5" customFormat="false" ht="15" hidden="false" customHeight="false" outlineLevel="0" collapsed="false">
      <c r="A5" s="0" t="str">
        <f aca="false">Underwriting!$A5</f>
        <v>1311511-2</v>
      </c>
      <c r="B5" s="0" t="str">
        <f aca="false">Underwriting!$B5</f>
        <v>2 Base but occupied (squatter/holdover)</v>
      </c>
      <c r="C5" s="0" t="str">
        <f aca="false">Underwriting!$C5</f>
        <v>Flip</v>
      </c>
      <c r="D5" s="26" t="n">
        <f aca="false">Underwriting!$D5</f>
        <v>242002.301020408</v>
      </c>
      <c r="E5" s="8" t="n">
        <f aca="false">IF(Underwriting!$A5="","",Underwriting!$D5)</f>
        <v>242002.301020408</v>
      </c>
      <c r="F5" s="11" t="str">
        <f aca="false">IF(Underwriting!$A5="","",IF(Underwriting!$D5&gt;0,"Y","N"))</f>
        <v>Y</v>
      </c>
      <c r="G5" s="26" t="n">
        <f aca="false">IF(Underwriting!$A5="","",N(E5)*(DownPct+BuyerPremium))</f>
        <v>27830.2646173469</v>
      </c>
      <c r="H5" s="26" t="n">
        <f aca="false">IF(Underwriting!$A5="","",IF(N(E5)&gt;0,N(E5)*(1-DownPct)+35,0))</f>
        <v>217837.070918367</v>
      </c>
      <c r="I5" s="26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220881.37875</v>
      </c>
      <c r="J5" s="26" t="n">
        <f aca="false">IF(Underwriting!$A5="","",G5+H5+I5)</f>
        <v>466548.714285714</v>
      </c>
      <c r="K5" s="26" t="n">
        <f aca="false">IF(Underwriting!$A5="","",SUMIF($F$3:F5,"Y",$J$3:J5))</f>
        <v>1446121.37642164</v>
      </c>
      <c r="L5" s="0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$145,786 flip profit</v>
      </c>
    </row>
    <row r="6" customFormat="false" ht="15" hidden="false" customHeight="false" outlineLevel="0" collapsed="false">
      <c r="A6" s="0" t="str">
        <f aca="false">Underwriting!$A6</f>
        <v>1311511-3</v>
      </c>
      <c r="B6" s="0" t="str">
        <f aca="false">Underwriting!$B6</f>
        <v>3 Downside: ARV 640k, Gut, vacant</v>
      </c>
      <c r="C6" s="0" t="str">
        <f aca="false">Underwriting!$C6</f>
        <v>Flip</v>
      </c>
      <c r="D6" s="26" t="n">
        <f aca="false">Underwriting!$D6</f>
        <v>156861.983998841</v>
      </c>
      <c r="E6" s="8" t="n">
        <f aca="false">IF(Underwriting!$A6="","",Underwriting!$D6)</f>
        <v>156861.983998841</v>
      </c>
      <c r="F6" s="11" t="str">
        <f aca="false">IF(Underwriting!$A6="","",IF(Underwriting!$D6&gt;0,"Y","N"))</f>
        <v>Y</v>
      </c>
      <c r="G6" s="26" t="n">
        <f aca="false">IF(Underwriting!$A6="","",N(E6)*(DownPct+BuyerPremium))</f>
        <v>18039.1281598667</v>
      </c>
      <c r="H6" s="26" t="n">
        <f aca="false">IF(Underwriting!$A6="","",IF(N(E6)&gt;0,N(E6)*(1-DownPct)+35,0))</f>
        <v>141210.785598957</v>
      </c>
      <c r="I6" s="26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296118.7333</v>
      </c>
      <c r="J6" s="26" t="n">
        <f aca="false">IF(Underwriting!$A6="","",G6+H6+I6)</f>
        <v>455368.647058824</v>
      </c>
      <c r="K6" s="26" t="n">
        <f aca="false">IF(Underwriting!$A6="","",SUMIF($F$3:F6,"Y",$J$3:J6))</f>
        <v>1901490.02348046</v>
      </c>
      <c r="L6" s="0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$125,217 flip profit</v>
      </c>
    </row>
    <row r="7" customFormat="false" ht="15" hidden="false" customHeight="false" outlineLevel="0" collapsed="false">
      <c r="A7" s="0" t="str">
        <f aca="false">Underwriting!$A7</f>
        <v>1311511-4</v>
      </c>
      <c r="B7" s="0" t="str">
        <f aca="false">Underwriting!$B7</f>
        <v>4 Upside: ARV 710k, Heavy, vacant</v>
      </c>
      <c r="C7" s="0" t="str">
        <f aca="false">Underwriting!$C7</f>
        <v>Flip</v>
      </c>
      <c r="D7" s="26" t="n">
        <f aca="false">Underwriting!$D7</f>
        <v>299377.514285714</v>
      </c>
      <c r="E7" s="8" t="n">
        <f aca="false">IF(Underwriting!$A7="","",Underwriting!$D7)</f>
        <v>299377.514285714</v>
      </c>
      <c r="F7" s="11" t="str">
        <f aca="false">IF(Underwriting!$A7="","",IF(Underwriting!$D7&gt;0,"Y","N"))</f>
        <v>Y</v>
      </c>
      <c r="G7" s="26" t="n">
        <f aca="false">IF(Underwriting!$A7="","",N(E7)*(DownPct+BuyerPremium))</f>
        <v>34428.4141428571</v>
      </c>
      <c r="H7" s="26" t="n">
        <f aca="false">IF(Underwriting!$A7="","",IF(N(E7)&gt;0,N(E7)*(1-DownPct)+35,0))</f>
        <v>269474.762857143</v>
      </c>
      <c r="I7" s="26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211370.303</v>
      </c>
      <c r="J7" s="26" t="n">
        <f aca="false">IF(Underwriting!$A7="","",G7+H7+I7)</f>
        <v>515273.48</v>
      </c>
      <c r="K7" s="26" t="n">
        <f aca="false">IF(Underwriting!$A7="","",SUMIF($F$3:F7,"Y",$J$3:J7))</f>
        <v>2416763.50348046</v>
      </c>
      <c r="L7" s="0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$128,810 flip profit</v>
      </c>
    </row>
    <row r="8" customFormat="false" ht="15" hidden="false" customHeight="false" outlineLevel="0" collapsed="false">
      <c r="A8" s="0" t="str">
        <f aca="false">Underwriting!$A8</f>
        <v>1311511-5</v>
      </c>
      <c r="B8" s="0" t="str">
        <f aca="false">Underwriting!$B8</f>
        <v>5 Junior plaintiff: base + $300k senior survives</v>
      </c>
      <c r="C8" s="0" t="str">
        <f aca="false">Underwriting!$C8</f>
        <v>Pass</v>
      </c>
      <c r="D8" s="26" t="n">
        <f aca="false">Underwriting!$D8</f>
        <v>0</v>
      </c>
      <c r="E8" s="8" t="n">
        <f aca="false">IF(Underwriting!$A8="","",Underwriting!$D8)</f>
        <v>0</v>
      </c>
      <c r="F8" s="11" t="str">
        <f aca="false">IF(Underwriting!$A8="","",IF(Underwriting!$D8&gt;0,"Y","N"))</f>
        <v>N</v>
      </c>
      <c r="G8" s="26" t="n">
        <f aca="false">IF(Underwriting!$A8="","",N(E8)*(DownPct+BuyerPremium))</f>
        <v>0</v>
      </c>
      <c r="H8" s="26" t="n">
        <f aca="false">IF(Underwriting!$A8="","",IF(N(E8)&gt;0,N(E8)*(1-DownPct)+35,0))</f>
        <v>0</v>
      </c>
      <c r="I8" s="26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511370.303</v>
      </c>
      <c r="J8" s="26" t="n">
        <f aca="false">IF(Underwriting!$A8="","",G8+H8+I8)</f>
        <v>511370.303</v>
      </c>
      <c r="K8" s="26" t="n">
        <f aca="false">IF(Underwriting!$A8="","",SUMIF($F$3:F8,"Y",$J$3:J8))</f>
        <v>2416763.50348046</v>
      </c>
      <c r="L8" s="0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$100,929 flip profit</v>
      </c>
    </row>
    <row r="9" customFormat="false" ht="15" hidden="false" customHeight="false" outlineLevel="0" collapsed="false">
      <c r="A9" s="0" t="str">
        <f aca="false">Underwriting!$A9</f>
        <v/>
      </c>
      <c r="B9" s="0" t="str">
        <f aca="false">Underwriting!$B9</f>
        <v/>
      </c>
      <c r="C9" s="0" t="str">
        <f aca="false">Underwriting!$C9</f>
        <v/>
      </c>
      <c r="D9" s="26" t="str">
        <f aca="false">Underwriting!$D9</f>
        <v/>
      </c>
      <c r="E9" s="8" t="str">
        <f aca="false">IF(Underwriting!$A9="","",Underwriting!$D9)</f>
        <v/>
      </c>
      <c r="F9" s="11" t="str">
        <f aca="false">IF(Underwriting!$A9="","",IF(Underwriting!$D9&gt;0,"Y","N"))</f>
        <v/>
      </c>
      <c r="G9" s="26" t="str">
        <f aca="false">IF(Underwriting!$A9="","",N(E9)*(DownPct+BuyerPremium))</f>
        <v/>
      </c>
      <c r="H9" s="26" t="str">
        <f aca="false">IF(Underwriting!$A9="","",IF(N(E9)&gt;0,N(E9)*(1-DownPct)+35,0))</f>
        <v/>
      </c>
      <c r="I9" s="26" t="str">
        <f aca="false">IF(Underwriting!$A9="","",IF(C9="Value-add hold",Underwriting!$AA9,Underwriting!$S9)+((N(E9))*(1+BuyerPremium)+IF(N(Deals!S9)=0,0,MIN(N(Deals!S9),MAX(0,N(Deals!S9)+SheriffCostsFromBid-(N(E9))*(1-RTTPurchase)))))-N(E9)*(1+BuyerPremium))</f>
        <v/>
      </c>
      <c r="J9" s="26" t="str">
        <f aca="false">IF(Underwriting!$A9="","",G9+H9+I9)</f>
        <v/>
      </c>
      <c r="K9" s="26" t="str">
        <f aca="false">IF(Underwriting!$A9="","",SUMIF($F$3:F9,"Y",$J$3:J9))</f>
        <v/>
      </c>
      <c r="L9" s="0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/>
      </c>
    </row>
    <row r="10" customFormat="false" ht="15" hidden="false" customHeight="false" outlineLevel="0" collapsed="false">
      <c r="A10" s="0" t="str">
        <f aca="false">Underwriting!$A10</f>
        <v/>
      </c>
      <c r="B10" s="0" t="str">
        <f aca="false">Underwriting!$B10</f>
        <v/>
      </c>
      <c r="C10" s="0" t="str">
        <f aca="false">Underwriting!$C10</f>
        <v/>
      </c>
      <c r="D10" s="26" t="str">
        <f aca="false">Underwriting!$D10</f>
        <v/>
      </c>
      <c r="E10" s="8" t="str">
        <f aca="false">IF(Underwriting!$A10="","",Underwriting!$D10)</f>
        <v/>
      </c>
      <c r="F10" s="11" t="str">
        <f aca="false">IF(Underwriting!$A10="","",IF(Underwriting!$D10&gt;0,"Y","N"))</f>
        <v/>
      </c>
      <c r="G10" s="26" t="str">
        <f aca="false">IF(Underwriting!$A10="","",N(E10)*(DownPct+BuyerPremium))</f>
        <v/>
      </c>
      <c r="H10" s="26" t="str">
        <f aca="false">IF(Underwriting!$A10="","",IF(N(E10)&gt;0,N(E10)*(1-DownPct)+35,0))</f>
        <v/>
      </c>
      <c r="I10" s="26" t="str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/>
      </c>
      <c r="J10" s="26" t="str">
        <f aca="false">IF(Underwriting!$A10="","",G10+H10+I10)</f>
        <v/>
      </c>
      <c r="K10" s="26" t="str">
        <f aca="false">IF(Underwriting!$A10="","",SUMIF($F$3:F10,"Y",$J$3:J10))</f>
        <v/>
      </c>
      <c r="L10" s="0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/>
      </c>
    </row>
    <row r="11" customFormat="false" ht="15" hidden="false" customHeight="false" outlineLevel="0" collapsed="false">
      <c r="A11" s="0" t="str">
        <f aca="false">Underwriting!$A11</f>
        <v/>
      </c>
      <c r="B11" s="0" t="str">
        <f aca="false">Underwriting!$B11</f>
        <v/>
      </c>
      <c r="C11" s="0" t="str">
        <f aca="false">Underwriting!$C11</f>
        <v/>
      </c>
      <c r="D11" s="26" t="str">
        <f aca="false">Underwriting!$D11</f>
        <v/>
      </c>
      <c r="E11" s="8" t="str">
        <f aca="false">IF(Underwriting!$A11="","",Underwriting!$D11)</f>
        <v/>
      </c>
      <c r="F11" s="11" t="str">
        <f aca="false">IF(Underwriting!$A11="","",IF(Underwriting!$D11&gt;0,"Y","N"))</f>
        <v/>
      </c>
      <c r="G11" s="26" t="str">
        <f aca="false">IF(Underwriting!$A11="","",N(E11)*(DownPct+BuyerPremium))</f>
        <v/>
      </c>
      <c r="H11" s="26" t="str">
        <f aca="false">IF(Underwriting!$A11="","",IF(N(E11)&gt;0,N(E11)*(1-DownPct)+35,0))</f>
        <v/>
      </c>
      <c r="I11" s="26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26" t="str">
        <f aca="false">IF(Underwriting!$A11="","",G11+H11+I11)</f>
        <v/>
      </c>
      <c r="K11" s="26" t="str">
        <f aca="false">IF(Underwriting!$A11="","",SUMIF($F$3:F11,"Y",$J$3:J11))</f>
        <v/>
      </c>
      <c r="L11" s="0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false" outlineLevel="0" collapsed="false">
      <c r="A12" s="0" t="str">
        <f aca="false">Underwriting!$A12</f>
        <v/>
      </c>
      <c r="B12" s="0" t="str">
        <f aca="false">Underwriting!$B12</f>
        <v/>
      </c>
      <c r="C12" s="0" t="str">
        <f aca="false">Underwriting!$C12</f>
        <v/>
      </c>
      <c r="D12" s="26" t="str">
        <f aca="false">Underwriting!$D12</f>
        <v/>
      </c>
      <c r="E12" s="8" t="str">
        <f aca="false">IF(Underwriting!$A12="","",Underwriting!$D12)</f>
        <v/>
      </c>
      <c r="F12" s="11" t="str">
        <f aca="false">IF(Underwriting!$A12="","",IF(Underwriting!$D12&gt;0,"Y","N"))</f>
        <v/>
      </c>
      <c r="G12" s="26" t="str">
        <f aca="false">IF(Underwriting!$A12="","",N(E12)*(DownPct+BuyerPremium))</f>
        <v/>
      </c>
      <c r="H12" s="26" t="str">
        <f aca="false">IF(Underwriting!$A12="","",IF(N(E12)&gt;0,N(E12)*(1-DownPct)+35,0))</f>
        <v/>
      </c>
      <c r="I12" s="26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26" t="str">
        <f aca="false">IF(Underwriting!$A12="","",G12+H12+I12)</f>
        <v/>
      </c>
      <c r="K12" s="26" t="str">
        <f aca="false">IF(Underwriting!$A12="","",SUMIF($F$3:F12,"Y",$J$3:J12))</f>
        <v/>
      </c>
      <c r="L12" s="0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false" outlineLevel="0" collapsed="false">
      <c r="A13" s="0" t="str">
        <f aca="false">Underwriting!$A13</f>
        <v/>
      </c>
      <c r="B13" s="0" t="str">
        <f aca="false">Underwriting!$B13</f>
        <v/>
      </c>
      <c r="C13" s="0" t="str">
        <f aca="false">Underwriting!$C13</f>
        <v/>
      </c>
      <c r="D13" s="26" t="str">
        <f aca="false">Underwriting!$D13</f>
        <v/>
      </c>
      <c r="E13" s="8" t="str">
        <f aca="false">IF(Underwriting!$A13="","",Underwriting!$D13)</f>
        <v/>
      </c>
      <c r="F13" s="11" t="str">
        <f aca="false">IF(Underwriting!$A13="","",IF(Underwriting!$D13&gt;0,"Y","N"))</f>
        <v/>
      </c>
      <c r="G13" s="26" t="str">
        <f aca="false">IF(Underwriting!$A13="","",N(E13)*(DownPct+BuyerPremium))</f>
        <v/>
      </c>
      <c r="H13" s="26" t="str">
        <f aca="false">IF(Underwriting!$A13="","",IF(N(E13)&gt;0,N(E13)*(1-DownPct)+35,0))</f>
        <v/>
      </c>
      <c r="I13" s="26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26" t="str">
        <f aca="false">IF(Underwriting!$A13="","",G13+H13+I13)</f>
        <v/>
      </c>
      <c r="K13" s="26" t="str">
        <f aca="false">IF(Underwriting!$A13="","",SUMIF($F$3:F13,"Y",$J$3:J13))</f>
        <v/>
      </c>
      <c r="L13" s="0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false" outlineLevel="0" collapsed="false">
      <c r="A14" s="0" t="str">
        <f aca="false">Underwriting!$A14</f>
        <v/>
      </c>
      <c r="B14" s="0" t="str">
        <f aca="false">Underwriting!$B14</f>
        <v/>
      </c>
      <c r="C14" s="0" t="str">
        <f aca="false">Underwriting!$C14</f>
        <v/>
      </c>
      <c r="D14" s="26" t="str">
        <f aca="false">Underwriting!$D14</f>
        <v/>
      </c>
      <c r="E14" s="8" t="str">
        <f aca="false">IF(Underwriting!$A14="","",Underwriting!$D14)</f>
        <v/>
      </c>
      <c r="F14" s="11" t="str">
        <f aca="false">IF(Underwriting!$A14="","",IF(Underwriting!$D14&gt;0,"Y","N"))</f>
        <v/>
      </c>
      <c r="G14" s="26" t="str">
        <f aca="false">IF(Underwriting!$A14="","",N(E14)*(DownPct+BuyerPremium))</f>
        <v/>
      </c>
      <c r="H14" s="26" t="str">
        <f aca="false">IF(Underwriting!$A14="","",IF(N(E14)&gt;0,N(E14)*(1-DownPct)+35,0))</f>
        <v/>
      </c>
      <c r="I14" s="26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26" t="str">
        <f aca="false">IF(Underwriting!$A14="","",G14+H14+I14)</f>
        <v/>
      </c>
      <c r="K14" s="26" t="str">
        <f aca="false">IF(Underwriting!$A14="","",SUMIF($F$3:F14,"Y",$J$3:J14))</f>
        <v/>
      </c>
      <c r="L14" s="0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false" outlineLevel="0" collapsed="false">
      <c r="A15" s="0" t="str">
        <f aca="false">Underwriting!$A15</f>
        <v/>
      </c>
      <c r="B15" s="0" t="str">
        <f aca="false">Underwriting!$B15</f>
        <v/>
      </c>
      <c r="C15" s="0" t="str">
        <f aca="false">Underwriting!$C15</f>
        <v/>
      </c>
      <c r="D15" s="26" t="str">
        <f aca="false">Underwriting!$D15</f>
        <v/>
      </c>
      <c r="E15" s="8" t="str">
        <f aca="false">IF(Underwriting!$A15="","",Underwriting!$D15)</f>
        <v/>
      </c>
      <c r="F15" s="11" t="str">
        <f aca="false">IF(Underwriting!$A15="","",IF(Underwriting!$D15&gt;0,"Y","N"))</f>
        <v/>
      </c>
      <c r="G15" s="26" t="str">
        <f aca="false">IF(Underwriting!$A15="","",N(E15)*(DownPct+BuyerPremium))</f>
        <v/>
      </c>
      <c r="H15" s="26" t="str">
        <f aca="false">IF(Underwriting!$A15="","",IF(N(E15)&gt;0,N(E15)*(1-DownPct)+35,0))</f>
        <v/>
      </c>
      <c r="I15" s="26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26" t="str">
        <f aca="false">IF(Underwriting!$A15="","",G15+H15+I15)</f>
        <v/>
      </c>
      <c r="K15" s="26" t="str">
        <f aca="false">IF(Underwriting!$A15="","",SUMIF($F$3:F15,"Y",$J$3:J15))</f>
        <v/>
      </c>
      <c r="L15" s="0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false" outlineLevel="0" collapsed="false">
      <c r="A16" s="0" t="str">
        <f aca="false">Underwriting!$A16</f>
        <v/>
      </c>
      <c r="B16" s="0" t="str">
        <f aca="false">Underwriting!$B16</f>
        <v/>
      </c>
      <c r="C16" s="0" t="str">
        <f aca="false">Underwriting!$C16</f>
        <v/>
      </c>
      <c r="D16" s="26" t="str">
        <f aca="false">Underwriting!$D16</f>
        <v/>
      </c>
      <c r="E16" s="8" t="str">
        <f aca="false">IF(Underwriting!$A16="","",Underwriting!$D16)</f>
        <v/>
      </c>
      <c r="F16" s="11" t="str">
        <f aca="false">IF(Underwriting!$A16="","",IF(Underwriting!$D16&gt;0,"Y","N"))</f>
        <v/>
      </c>
      <c r="G16" s="26" t="str">
        <f aca="false">IF(Underwriting!$A16="","",N(E16)*(DownPct+BuyerPremium))</f>
        <v/>
      </c>
      <c r="H16" s="26" t="str">
        <f aca="false">IF(Underwriting!$A16="","",IF(N(E16)&gt;0,N(E16)*(1-DownPct)+35,0))</f>
        <v/>
      </c>
      <c r="I16" s="26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26" t="str">
        <f aca="false">IF(Underwriting!$A16="","",G16+H16+I16)</f>
        <v/>
      </c>
      <c r="K16" s="26" t="str">
        <f aca="false">IF(Underwriting!$A16="","",SUMIF($F$3:F16,"Y",$J$3:J16))</f>
        <v/>
      </c>
      <c r="L16" s="0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false" outlineLevel="0" collapsed="false">
      <c r="A17" s="0" t="str">
        <f aca="false">Underwriting!$A17</f>
        <v/>
      </c>
      <c r="B17" s="0" t="str">
        <f aca="false">Underwriting!$B17</f>
        <v/>
      </c>
      <c r="C17" s="0" t="str">
        <f aca="false">Underwriting!$C17</f>
        <v/>
      </c>
      <c r="D17" s="26" t="str">
        <f aca="false">Underwriting!$D17</f>
        <v/>
      </c>
      <c r="E17" s="8" t="str">
        <f aca="false">IF(Underwriting!$A17="","",Underwriting!$D17)</f>
        <v/>
      </c>
      <c r="F17" s="11" t="str">
        <f aca="false">IF(Underwriting!$A17="","",IF(Underwriting!$D17&gt;0,"Y","N"))</f>
        <v/>
      </c>
      <c r="G17" s="26" t="str">
        <f aca="false">IF(Underwriting!$A17="","",N(E17)*(DownPct+BuyerPremium))</f>
        <v/>
      </c>
      <c r="H17" s="26" t="str">
        <f aca="false">IF(Underwriting!$A17="","",IF(N(E17)&gt;0,N(E17)*(1-DownPct)+35,0))</f>
        <v/>
      </c>
      <c r="I17" s="26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26" t="str">
        <f aca="false">IF(Underwriting!$A17="","",G17+H17+I17)</f>
        <v/>
      </c>
      <c r="K17" s="26" t="str">
        <f aca="false">IF(Underwriting!$A17="","",SUMIF($F$3:F17,"Y",$J$3:J17))</f>
        <v/>
      </c>
      <c r="L17" s="0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false" outlineLevel="0" collapsed="false">
      <c r="A18" s="0" t="str">
        <f aca="false">Underwriting!$A18</f>
        <v/>
      </c>
      <c r="B18" s="0" t="str">
        <f aca="false">Underwriting!$B18</f>
        <v/>
      </c>
      <c r="C18" s="0" t="str">
        <f aca="false">Underwriting!$C18</f>
        <v/>
      </c>
      <c r="D18" s="26" t="str">
        <f aca="false">Underwriting!$D18</f>
        <v/>
      </c>
      <c r="E18" s="8" t="str">
        <f aca="false">IF(Underwriting!$A18="","",Underwriting!$D18)</f>
        <v/>
      </c>
      <c r="F18" s="11" t="str">
        <f aca="false">IF(Underwriting!$A18="","",IF(Underwriting!$D18&gt;0,"Y","N"))</f>
        <v/>
      </c>
      <c r="G18" s="26" t="str">
        <f aca="false">IF(Underwriting!$A18="","",N(E18)*(DownPct+BuyerPremium))</f>
        <v/>
      </c>
      <c r="H18" s="26" t="str">
        <f aca="false">IF(Underwriting!$A18="","",IF(N(E18)&gt;0,N(E18)*(1-DownPct)+35,0))</f>
        <v/>
      </c>
      <c r="I18" s="26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26" t="str">
        <f aca="false">IF(Underwriting!$A18="","",G18+H18+I18)</f>
        <v/>
      </c>
      <c r="K18" s="26" t="str">
        <f aca="false">IF(Underwriting!$A18="","",SUMIF($F$3:F18,"Y",$J$3:J18))</f>
        <v/>
      </c>
      <c r="L18" s="0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false" outlineLevel="0" collapsed="false">
      <c r="A19" s="0" t="str">
        <f aca="false">Underwriting!$A19</f>
        <v/>
      </c>
      <c r="B19" s="0" t="str">
        <f aca="false">Underwriting!$B19</f>
        <v/>
      </c>
      <c r="C19" s="0" t="str">
        <f aca="false">Underwriting!$C19</f>
        <v/>
      </c>
      <c r="D19" s="26" t="str">
        <f aca="false">Underwriting!$D19</f>
        <v/>
      </c>
      <c r="E19" s="8" t="str">
        <f aca="false">IF(Underwriting!$A19="","",Underwriting!$D19)</f>
        <v/>
      </c>
      <c r="F19" s="11" t="str">
        <f aca="false">IF(Underwriting!$A19="","",IF(Underwriting!$D19&gt;0,"Y","N"))</f>
        <v/>
      </c>
      <c r="G19" s="26" t="str">
        <f aca="false">IF(Underwriting!$A19="","",N(E19)*(DownPct+BuyerPremium))</f>
        <v/>
      </c>
      <c r="H19" s="26" t="str">
        <f aca="false">IF(Underwriting!$A19="","",IF(N(E19)&gt;0,N(E19)*(1-DownPct)+35,0))</f>
        <v/>
      </c>
      <c r="I19" s="26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26" t="str">
        <f aca="false">IF(Underwriting!$A19="","",G19+H19+I19)</f>
        <v/>
      </c>
      <c r="K19" s="26" t="str">
        <f aca="false">IF(Underwriting!$A19="","",SUMIF($F$3:F19,"Y",$J$3:J19))</f>
        <v/>
      </c>
      <c r="L19" s="0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false" outlineLevel="0" collapsed="false">
      <c r="A20" s="0" t="str">
        <f aca="false">Underwriting!$A20</f>
        <v/>
      </c>
      <c r="B20" s="0" t="str">
        <f aca="false">Underwriting!$B20</f>
        <v/>
      </c>
      <c r="C20" s="0" t="str">
        <f aca="false">Underwriting!$C20</f>
        <v/>
      </c>
      <c r="D20" s="26" t="str">
        <f aca="false">Underwriting!$D20</f>
        <v/>
      </c>
      <c r="E20" s="8" t="str">
        <f aca="false">IF(Underwriting!$A20="","",Underwriting!$D20)</f>
        <v/>
      </c>
      <c r="F20" s="11" t="str">
        <f aca="false">IF(Underwriting!$A20="","",IF(Underwriting!$D20&gt;0,"Y","N"))</f>
        <v/>
      </c>
      <c r="G20" s="26" t="str">
        <f aca="false">IF(Underwriting!$A20="","",N(E20)*(DownPct+BuyerPremium))</f>
        <v/>
      </c>
      <c r="H20" s="26" t="str">
        <f aca="false">IF(Underwriting!$A20="","",IF(N(E20)&gt;0,N(E20)*(1-DownPct)+35,0))</f>
        <v/>
      </c>
      <c r="I20" s="26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26" t="str">
        <f aca="false">IF(Underwriting!$A20="","",G20+H20+I20)</f>
        <v/>
      </c>
      <c r="K20" s="26" t="str">
        <f aca="false">IF(Underwriting!$A20="","",SUMIF($F$3:F20,"Y",$J$3:J20))</f>
        <v/>
      </c>
      <c r="L20" s="0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false" outlineLevel="0" collapsed="false">
      <c r="A21" s="0" t="str">
        <f aca="false">Underwriting!$A21</f>
        <v/>
      </c>
      <c r="B21" s="0" t="str">
        <f aca="false">Underwriting!$B21</f>
        <v/>
      </c>
      <c r="C21" s="0" t="str">
        <f aca="false">Underwriting!$C21</f>
        <v/>
      </c>
      <c r="D21" s="26" t="str">
        <f aca="false">Underwriting!$D21</f>
        <v/>
      </c>
      <c r="E21" s="8" t="str">
        <f aca="false">IF(Underwriting!$A21="","",Underwriting!$D21)</f>
        <v/>
      </c>
      <c r="F21" s="11" t="str">
        <f aca="false">IF(Underwriting!$A21="","",IF(Underwriting!$D21&gt;0,"Y","N"))</f>
        <v/>
      </c>
      <c r="G21" s="26" t="str">
        <f aca="false">IF(Underwriting!$A21="","",N(E21)*(DownPct+BuyerPremium))</f>
        <v/>
      </c>
      <c r="H21" s="26" t="str">
        <f aca="false">IF(Underwriting!$A21="","",IF(N(E21)&gt;0,N(E21)*(1-DownPct)+35,0))</f>
        <v/>
      </c>
      <c r="I21" s="26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26" t="str">
        <f aca="false">IF(Underwriting!$A21="","",G21+H21+I21)</f>
        <v/>
      </c>
      <c r="K21" s="26" t="str">
        <f aca="false">IF(Underwriting!$A21="","",SUMIF($F$3:F21,"Y",$J$3:J21))</f>
        <v/>
      </c>
      <c r="L21" s="0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false" outlineLevel="0" collapsed="false">
      <c r="A22" s="0" t="str">
        <f aca="false">Underwriting!$A22</f>
        <v/>
      </c>
      <c r="B22" s="0" t="str">
        <f aca="false">Underwriting!$B22</f>
        <v/>
      </c>
      <c r="C22" s="0" t="str">
        <f aca="false">Underwriting!$C22</f>
        <v/>
      </c>
      <c r="D22" s="26" t="str">
        <f aca="false">Underwriting!$D22</f>
        <v/>
      </c>
      <c r="E22" s="8" t="str">
        <f aca="false">IF(Underwriting!$A22="","",Underwriting!$D22)</f>
        <v/>
      </c>
      <c r="F22" s="11" t="str">
        <f aca="false">IF(Underwriting!$A22="","",IF(Underwriting!$D22&gt;0,"Y","N"))</f>
        <v/>
      </c>
      <c r="G22" s="26" t="str">
        <f aca="false">IF(Underwriting!$A22="","",N(E22)*(DownPct+BuyerPremium))</f>
        <v/>
      </c>
      <c r="H22" s="26" t="str">
        <f aca="false">IF(Underwriting!$A22="","",IF(N(E22)&gt;0,N(E22)*(1-DownPct)+35,0))</f>
        <v/>
      </c>
      <c r="I22" s="26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26" t="str">
        <f aca="false">IF(Underwriting!$A22="","",G22+H22+I22)</f>
        <v/>
      </c>
      <c r="K22" s="26" t="str">
        <f aca="false">IF(Underwriting!$A22="","",SUMIF($F$3:F22,"Y",$J$3:J22))</f>
        <v/>
      </c>
      <c r="L22" s="0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false" outlineLevel="0" collapsed="false">
      <c r="A23" s="0" t="str">
        <f aca="false">Underwriting!$A23</f>
        <v/>
      </c>
      <c r="B23" s="0" t="str">
        <f aca="false">Underwriting!$B23</f>
        <v/>
      </c>
      <c r="C23" s="0" t="str">
        <f aca="false">Underwriting!$C23</f>
        <v/>
      </c>
      <c r="D23" s="26" t="str">
        <f aca="false">Underwriting!$D23</f>
        <v/>
      </c>
      <c r="E23" s="8" t="str">
        <f aca="false">IF(Underwriting!$A23="","",Underwriting!$D23)</f>
        <v/>
      </c>
      <c r="F23" s="11" t="str">
        <f aca="false">IF(Underwriting!$A23="","",IF(Underwriting!$D23&gt;0,"Y","N"))</f>
        <v/>
      </c>
      <c r="G23" s="26" t="str">
        <f aca="false">IF(Underwriting!$A23="","",N(E23)*(DownPct+BuyerPremium))</f>
        <v/>
      </c>
      <c r="H23" s="26" t="str">
        <f aca="false">IF(Underwriting!$A23="","",IF(N(E23)&gt;0,N(E23)*(1-DownPct)+35,0))</f>
        <v/>
      </c>
      <c r="I23" s="26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26" t="str">
        <f aca="false">IF(Underwriting!$A23="","",G23+H23+I23)</f>
        <v/>
      </c>
      <c r="K23" s="26" t="str">
        <f aca="false">IF(Underwriting!$A23="","",SUMIF($F$3:F23,"Y",$J$3:J23))</f>
        <v/>
      </c>
      <c r="L23" s="0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false" outlineLevel="0" collapsed="false">
      <c r="A24" s="0" t="str">
        <f aca="false">Underwriting!$A24</f>
        <v/>
      </c>
      <c r="B24" s="0" t="str">
        <f aca="false">Underwriting!$B24</f>
        <v/>
      </c>
      <c r="C24" s="0" t="str">
        <f aca="false">Underwriting!$C24</f>
        <v/>
      </c>
      <c r="D24" s="26" t="str">
        <f aca="false">Underwriting!$D24</f>
        <v/>
      </c>
      <c r="E24" s="8" t="str">
        <f aca="false">IF(Underwriting!$A24="","",Underwriting!$D24)</f>
        <v/>
      </c>
      <c r="F24" s="11" t="str">
        <f aca="false">IF(Underwriting!$A24="","",IF(Underwriting!$D24&gt;0,"Y","N"))</f>
        <v/>
      </c>
      <c r="G24" s="26" t="str">
        <f aca="false">IF(Underwriting!$A24="","",N(E24)*(DownPct+BuyerPremium))</f>
        <v/>
      </c>
      <c r="H24" s="26" t="str">
        <f aca="false">IF(Underwriting!$A24="","",IF(N(E24)&gt;0,N(E24)*(1-DownPct)+35,0))</f>
        <v/>
      </c>
      <c r="I24" s="26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26" t="str">
        <f aca="false">IF(Underwriting!$A24="","",G24+H24+I24)</f>
        <v/>
      </c>
      <c r="K24" s="26" t="str">
        <f aca="false">IF(Underwriting!$A24="","",SUMIF($F$3:F24,"Y",$J$3:J24))</f>
        <v/>
      </c>
      <c r="L24" s="0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false" outlineLevel="0" collapsed="false">
      <c r="A25" s="0" t="str">
        <f aca="false">Underwriting!$A25</f>
        <v/>
      </c>
      <c r="B25" s="0" t="str">
        <f aca="false">Underwriting!$B25</f>
        <v/>
      </c>
      <c r="C25" s="0" t="str">
        <f aca="false">Underwriting!$C25</f>
        <v/>
      </c>
      <c r="D25" s="26" t="str">
        <f aca="false">Underwriting!$D25</f>
        <v/>
      </c>
      <c r="E25" s="8" t="str">
        <f aca="false">IF(Underwriting!$A25="","",Underwriting!$D25)</f>
        <v/>
      </c>
      <c r="F25" s="11" t="str">
        <f aca="false">IF(Underwriting!$A25="","",IF(Underwriting!$D25&gt;0,"Y","N"))</f>
        <v/>
      </c>
      <c r="G25" s="26" t="str">
        <f aca="false">IF(Underwriting!$A25="","",N(E25)*(DownPct+BuyerPremium))</f>
        <v/>
      </c>
      <c r="H25" s="26" t="str">
        <f aca="false">IF(Underwriting!$A25="","",IF(N(E25)&gt;0,N(E25)*(1-DownPct)+35,0))</f>
        <v/>
      </c>
      <c r="I25" s="26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26" t="str">
        <f aca="false">IF(Underwriting!$A25="","",G25+H25+I25)</f>
        <v/>
      </c>
      <c r="K25" s="26" t="str">
        <f aca="false">IF(Underwriting!$A25="","",SUMIF($F$3:F25,"Y",$J$3:J25))</f>
        <v/>
      </c>
      <c r="L25" s="0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false" outlineLevel="0" collapsed="false">
      <c r="A26" s="0" t="str">
        <f aca="false">Underwriting!$A26</f>
        <v/>
      </c>
      <c r="B26" s="0" t="str">
        <f aca="false">Underwriting!$B26</f>
        <v/>
      </c>
      <c r="C26" s="0" t="str">
        <f aca="false">Underwriting!$C26</f>
        <v/>
      </c>
      <c r="D26" s="26" t="str">
        <f aca="false">Underwriting!$D26</f>
        <v/>
      </c>
      <c r="E26" s="8" t="str">
        <f aca="false">IF(Underwriting!$A26="","",Underwriting!$D26)</f>
        <v/>
      </c>
      <c r="F26" s="11" t="str">
        <f aca="false">IF(Underwriting!$A26="","",IF(Underwriting!$D26&gt;0,"Y","N"))</f>
        <v/>
      </c>
      <c r="G26" s="26" t="str">
        <f aca="false">IF(Underwriting!$A26="","",N(E26)*(DownPct+BuyerPremium))</f>
        <v/>
      </c>
      <c r="H26" s="26" t="str">
        <f aca="false">IF(Underwriting!$A26="","",IF(N(E26)&gt;0,N(E26)*(1-DownPct)+35,0))</f>
        <v/>
      </c>
      <c r="I26" s="26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26" t="str">
        <f aca="false">IF(Underwriting!$A26="","",G26+H26+I26)</f>
        <v/>
      </c>
      <c r="K26" s="26" t="str">
        <f aca="false">IF(Underwriting!$A26="","",SUMIF($F$3:F26,"Y",$J$3:J26))</f>
        <v/>
      </c>
      <c r="L26" s="0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false" outlineLevel="0" collapsed="false">
      <c r="A27" s="0" t="str">
        <f aca="false">Underwriting!$A27</f>
        <v/>
      </c>
      <c r="B27" s="0" t="str">
        <f aca="false">Underwriting!$B27</f>
        <v/>
      </c>
      <c r="C27" s="0" t="str">
        <f aca="false">Underwriting!$C27</f>
        <v/>
      </c>
      <c r="D27" s="26" t="str">
        <f aca="false">Underwriting!$D27</f>
        <v/>
      </c>
      <c r="E27" s="8" t="str">
        <f aca="false">IF(Underwriting!$A27="","",Underwriting!$D27)</f>
        <v/>
      </c>
      <c r="F27" s="11" t="str">
        <f aca="false">IF(Underwriting!$A27="","",IF(Underwriting!$D27&gt;0,"Y","N"))</f>
        <v/>
      </c>
      <c r="G27" s="26" t="str">
        <f aca="false">IF(Underwriting!$A27="","",N(E27)*(DownPct+BuyerPremium))</f>
        <v/>
      </c>
      <c r="H27" s="26" t="str">
        <f aca="false">IF(Underwriting!$A27="","",IF(N(E27)&gt;0,N(E27)*(1-DownPct)+35,0))</f>
        <v/>
      </c>
      <c r="I27" s="26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26" t="str">
        <f aca="false">IF(Underwriting!$A27="","",G27+H27+I27)</f>
        <v/>
      </c>
      <c r="K27" s="26" t="str">
        <f aca="false">IF(Underwriting!$A27="","",SUMIF($F$3:F27,"Y",$J$3:J27))</f>
        <v/>
      </c>
      <c r="L27" s="0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false" outlineLevel="0" collapsed="false">
      <c r="A28" s="0" t="str">
        <f aca="false">Underwriting!$A28</f>
        <v/>
      </c>
      <c r="B28" s="0" t="str">
        <f aca="false">Underwriting!$B28</f>
        <v/>
      </c>
      <c r="C28" s="0" t="str">
        <f aca="false">Underwriting!$C28</f>
        <v/>
      </c>
      <c r="D28" s="26" t="str">
        <f aca="false">Underwriting!$D28</f>
        <v/>
      </c>
      <c r="E28" s="8" t="str">
        <f aca="false">IF(Underwriting!$A28="","",Underwriting!$D28)</f>
        <v/>
      </c>
      <c r="F28" s="11" t="str">
        <f aca="false">IF(Underwriting!$A28="","",IF(Underwriting!$D28&gt;0,"Y","N"))</f>
        <v/>
      </c>
      <c r="G28" s="26" t="str">
        <f aca="false">IF(Underwriting!$A28="","",N(E28)*(DownPct+BuyerPremium))</f>
        <v/>
      </c>
      <c r="H28" s="26" t="str">
        <f aca="false">IF(Underwriting!$A28="","",IF(N(E28)&gt;0,N(E28)*(1-DownPct)+35,0))</f>
        <v/>
      </c>
      <c r="I28" s="26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26" t="str">
        <f aca="false">IF(Underwriting!$A28="","",G28+H28+I28)</f>
        <v/>
      </c>
      <c r="K28" s="26" t="str">
        <f aca="false">IF(Underwriting!$A28="","",SUMIF($F$3:F28,"Y",$J$3:J28))</f>
        <v/>
      </c>
      <c r="L28" s="0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false" outlineLevel="0" collapsed="false">
      <c r="A29" s="0" t="str">
        <f aca="false">Underwriting!$A29</f>
        <v/>
      </c>
      <c r="B29" s="0" t="str">
        <f aca="false">Underwriting!$B29</f>
        <v/>
      </c>
      <c r="C29" s="0" t="str">
        <f aca="false">Underwriting!$C29</f>
        <v/>
      </c>
      <c r="D29" s="26" t="str">
        <f aca="false">Underwriting!$D29</f>
        <v/>
      </c>
      <c r="E29" s="8" t="str">
        <f aca="false">IF(Underwriting!$A29="","",Underwriting!$D29)</f>
        <v/>
      </c>
      <c r="F29" s="11" t="str">
        <f aca="false">IF(Underwriting!$A29="","",IF(Underwriting!$D29&gt;0,"Y","N"))</f>
        <v/>
      </c>
      <c r="G29" s="26" t="str">
        <f aca="false">IF(Underwriting!$A29="","",N(E29)*(DownPct+BuyerPremium))</f>
        <v/>
      </c>
      <c r="H29" s="26" t="str">
        <f aca="false">IF(Underwriting!$A29="","",IF(N(E29)&gt;0,N(E29)*(1-DownPct)+35,0))</f>
        <v/>
      </c>
      <c r="I29" s="26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26" t="str">
        <f aca="false">IF(Underwriting!$A29="","",G29+H29+I29)</f>
        <v/>
      </c>
      <c r="K29" s="26" t="str">
        <f aca="false">IF(Underwriting!$A29="","",SUMIF($F$3:F29,"Y",$J$3:J29))</f>
        <v/>
      </c>
      <c r="L29" s="0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false" outlineLevel="0" collapsed="false">
      <c r="A30" s="0" t="str">
        <f aca="false">Underwriting!$A30</f>
        <v/>
      </c>
      <c r="B30" s="0" t="str">
        <f aca="false">Underwriting!$B30</f>
        <v/>
      </c>
      <c r="C30" s="0" t="str">
        <f aca="false">Underwriting!$C30</f>
        <v/>
      </c>
      <c r="D30" s="26" t="str">
        <f aca="false">Underwriting!$D30</f>
        <v/>
      </c>
      <c r="E30" s="8" t="str">
        <f aca="false">IF(Underwriting!$A30="","",Underwriting!$D30)</f>
        <v/>
      </c>
      <c r="F30" s="11" t="str">
        <f aca="false">IF(Underwriting!$A30="","",IF(Underwriting!$D30&gt;0,"Y","N"))</f>
        <v/>
      </c>
      <c r="G30" s="26" t="str">
        <f aca="false">IF(Underwriting!$A30="","",N(E30)*(DownPct+BuyerPremium))</f>
        <v/>
      </c>
      <c r="H30" s="26" t="str">
        <f aca="false">IF(Underwriting!$A30="","",IF(N(E30)&gt;0,N(E30)*(1-DownPct)+35,0))</f>
        <v/>
      </c>
      <c r="I30" s="26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26" t="str">
        <f aca="false">IF(Underwriting!$A30="","",G30+H30+I30)</f>
        <v/>
      </c>
      <c r="K30" s="26" t="str">
        <f aca="false">IF(Underwriting!$A30="","",SUMIF($F$3:F30,"Y",$J$3:J30))</f>
        <v/>
      </c>
      <c r="L30" s="0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false" outlineLevel="0" collapsed="false">
      <c r="A31" s="0" t="str">
        <f aca="false">Underwriting!$A31</f>
        <v/>
      </c>
      <c r="B31" s="0" t="str">
        <f aca="false">Underwriting!$B31</f>
        <v/>
      </c>
      <c r="C31" s="0" t="str">
        <f aca="false">Underwriting!$C31</f>
        <v/>
      </c>
      <c r="D31" s="26" t="str">
        <f aca="false">Underwriting!$D31</f>
        <v/>
      </c>
      <c r="E31" s="8" t="str">
        <f aca="false">IF(Underwriting!$A31="","",Underwriting!$D31)</f>
        <v/>
      </c>
      <c r="F31" s="11" t="str">
        <f aca="false">IF(Underwriting!$A31="","",IF(Underwriting!$D31&gt;0,"Y","N"))</f>
        <v/>
      </c>
      <c r="G31" s="26" t="str">
        <f aca="false">IF(Underwriting!$A31="","",N(E31)*(DownPct+BuyerPremium))</f>
        <v/>
      </c>
      <c r="H31" s="26" t="str">
        <f aca="false">IF(Underwriting!$A31="","",IF(N(E31)&gt;0,N(E31)*(1-DownPct)+35,0))</f>
        <v/>
      </c>
      <c r="I31" s="26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26" t="str">
        <f aca="false">IF(Underwriting!$A31="","",G31+H31+I31)</f>
        <v/>
      </c>
      <c r="K31" s="26" t="str">
        <f aca="false">IF(Underwriting!$A31="","",SUMIF($F$3:F31,"Y",$J$3:J31))</f>
        <v/>
      </c>
      <c r="L31" s="0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false" outlineLevel="0" collapsed="false">
      <c r="A32" s="0" t="str">
        <f aca="false">Underwriting!$A32</f>
        <v/>
      </c>
      <c r="B32" s="0" t="str">
        <f aca="false">Underwriting!$B32</f>
        <v/>
      </c>
      <c r="C32" s="0" t="str">
        <f aca="false">Underwriting!$C32</f>
        <v/>
      </c>
      <c r="D32" s="26" t="str">
        <f aca="false">Underwriting!$D32</f>
        <v/>
      </c>
      <c r="E32" s="8" t="str">
        <f aca="false">IF(Underwriting!$A32="","",Underwriting!$D32)</f>
        <v/>
      </c>
      <c r="F32" s="11" t="str">
        <f aca="false">IF(Underwriting!$A32="","",IF(Underwriting!$D32&gt;0,"Y","N"))</f>
        <v/>
      </c>
      <c r="G32" s="26" t="str">
        <f aca="false">IF(Underwriting!$A32="","",N(E32)*(DownPct+BuyerPremium))</f>
        <v/>
      </c>
      <c r="H32" s="26" t="str">
        <f aca="false">IF(Underwriting!$A32="","",IF(N(E32)&gt;0,N(E32)*(1-DownPct)+35,0))</f>
        <v/>
      </c>
      <c r="I32" s="26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26" t="str">
        <f aca="false">IF(Underwriting!$A32="","",G32+H32+I32)</f>
        <v/>
      </c>
      <c r="K32" s="26" t="str">
        <f aca="false">IF(Underwriting!$A32="","",SUMIF($F$3:F32,"Y",$J$3:J32))</f>
        <v/>
      </c>
      <c r="L32" s="0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false" outlineLevel="0" collapsed="false">
      <c r="A33" s="0" t="str">
        <f aca="false">Underwriting!$A33</f>
        <v/>
      </c>
      <c r="B33" s="0" t="str">
        <f aca="false">Underwriting!$B33</f>
        <v/>
      </c>
      <c r="C33" s="0" t="str">
        <f aca="false">Underwriting!$C33</f>
        <v/>
      </c>
      <c r="D33" s="26" t="str">
        <f aca="false">Underwriting!$D33</f>
        <v/>
      </c>
      <c r="E33" s="8" t="str">
        <f aca="false">IF(Underwriting!$A33="","",Underwriting!$D33)</f>
        <v/>
      </c>
      <c r="F33" s="11" t="str">
        <f aca="false">IF(Underwriting!$A33="","",IF(Underwriting!$D33&gt;0,"Y","N"))</f>
        <v/>
      </c>
      <c r="G33" s="26" t="str">
        <f aca="false">IF(Underwriting!$A33="","",N(E33)*(DownPct+BuyerPremium))</f>
        <v/>
      </c>
      <c r="H33" s="26" t="str">
        <f aca="false">IF(Underwriting!$A33="","",IF(N(E33)&gt;0,N(E33)*(1-DownPct)+35,0))</f>
        <v/>
      </c>
      <c r="I33" s="26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26" t="str">
        <f aca="false">IF(Underwriting!$A33="","",G33+H33+I33)</f>
        <v/>
      </c>
      <c r="K33" s="26" t="str">
        <f aca="false">IF(Underwriting!$A33="","",SUMIF($F$3:F33,"Y",$J$3:J33))</f>
        <v/>
      </c>
      <c r="L33" s="0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false" outlineLevel="0" collapsed="false">
      <c r="A34" s="0" t="str">
        <f aca="false">Underwriting!$A34</f>
        <v/>
      </c>
      <c r="B34" s="0" t="str">
        <f aca="false">Underwriting!$B34</f>
        <v/>
      </c>
      <c r="C34" s="0" t="str">
        <f aca="false">Underwriting!$C34</f>
        <v/>
      </c>
      <c r="D34" s="26" t="str">
        <f aca="false">Underwriting!$D34</f>
        <v/>
      </c>
      <c r="E34" s="8" t="str">
        <f aca="false">IF(Underwriting!$A34="","",Underwriting!$D34)</f>
        <v/>
      </c>
      <c r="F34" s="11" t="str">
        <f aca="false">IF(Underwriting!$A34="","",IF(Underwriting!$D34&gt;0,"Y","N"))</f>
        <v/>
      </c>
      <c r="G34" s="26" t="str">
        <f aca="false">IF(Underwriting!$A34="","",N(E34)*(DownPct+BuyerPremium))</f>
        <v/>
      </c>
      <c r="H34" s="26" t="str">
        <f aca="false">IF(Underwriting!$A34="","",IF(N(E34)&gt;0,N(E34)*(1-DownPct)+35,0))</f>
        <v/>
      </c>
      <c r="I34" s="26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26" t="str">
        <f aca="false">IF(Underwriting!$A34="","",G34+H34+I34)</f>
        <v/>
      </c>
      <c r="K34" s="26" t="str">
        <f aca="false">IF(Underwriting!$A34="","",SUMIF($F$3:F34,"Y",$J$3:J34))</f>
        <v/>
      </c>
      <c r="L34" s="0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false" outlineLevel="0" collapsed="false">
      <c r="A35" s="0" t="str">
        <f aca="false">Underwriting!$A35</f>
        <v/>
      </c>
      <c r="B35" s="0" t="str">
        <f aca="false">Underwriting!$B35</f>
        <v/>
      </c>
      <c r="C35" s="0" t="str">
        <f aca="false">Underwriting!$C35</f>
        <v/>
      </c>
      <c r="D35" s="26" t="str">
        <f aca="false">Underwriting!$D35</f>
        <v/>
      </c>
      <c r="E35" s="8" t="str">
        <f aca="false">IF(Underwriting!$A35="","",Underwriting!$D35)</f>
        <v/>
      </c>
      <c r="F35" s="11" t="str">
        <f aca="false">IF(Underwriting!$A35="","",IF(Underwriting!$D35&gt;0,"Y","N"))</f>
        <v/>
      </c>
      <c r="G35" s="26" t="str">
        <f aca="false">IF(Underwriting!$A35="","",N(E35)*(DownPct+BuyerPremium))</f>
        <v/>
      </c>
      <c r="H35" s="26" t="str">
        <f aca="false">IF(Underwriting!$A35="","",IF(N(E35)&gt;0,N(E35)*(1-DownPct)+35,0))</f>
        <v/>
      </c>
      <c r="I35" s="26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26" t="str">
        <f aca="false">IF(Underwriting!$A35="","",G35+H35+I35)</f>
        <v/>
      </c>
      <c r="K35" s="26" t="str">
        <f aca="false">IF(Underwriting!$A35="","",SUMIF($F$3:F35,"Y",$J$3:J35))</f>
        <v/>
      </c>
      <c r="L35" s="0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false" outlineLevel="0" collapsed="false">
      <c r="A36" s="0" t="str">
        <f aca="false">Underwriting!$A36</f>
        <v/>
      </c>
      <c r="B36" s="0" t="str">
        <f aca="false">Underwriting!$B36</f>
        <v/>
      </c>
      <c r="C36" s="0" t="str">
        <f aca="false">Underwriting!$C36</f>
        <v/>
      </c>
      <c r="D36" s="26" t="str">
        <f aca="false">Underwriting!$D36</f>
        <v/>
      </c>
      <c r="E36" s="8" t="str">
        <f aca="false">IF(Underwriting!$A36="","",Underwriting!$D36)</f>
        <v/>
      </c>
      <c r="F36" s="11" t="str">
        <f aca="false">IF(Underwriting!$A36="","",IF(Underwriting!$D36&gt;0,"Y","N"))</f>
        <v/>
      </c>
      <c r="G36" s="26" t="str">
        <f aca="false">IF(Underwriting!$A36="","",N(E36)*(DownPct+BuyerPremium))</f>
        <v/>
      </c>
      <c r="H36" s="26" t="str">
        <f aca="false">IF(Underwriting!$A36="","",IF(N(E36)&gt;0,N(E36)*(1-DownPct)+35,0))</f>
        <v/>
      </c>
      <c r="I36" s="26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26" t="str">
        <f aca="false">IF(Underwriting!$A36="","",G36+H36+I36)</f>
        <v/>
      </c>
      <c r="K36" s="26" t="str">
        <f aca="false">IF(Underwriting!$A36="","",SUMIF($F$3:F36,"Y",$J$3:J36))</f>
        <v/>
      </c>
      <c r="L36" s="0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false" outlineLevel="0" collapsed="false">
      <c r="A37" s="0" t="str">
        <f aca="false">Underwriting!$A37</f>
        <v/>
      </c>
      <c r="B37" s="0" t="str">
        <f aca="false">Underwriting!$B37</f>
        <v/>
      </c>
      <c r="C37" s="0" t="str">
        <f aca="false">Underwriting!$C37</f>
        <v/>
      </c>
      <c r="D37" s="26" t="str">
        <f aca="false">Underwriting!$D37</f>
        <v/>
      </c>
      <c r="E37" s="8" t="str">
        <f aca="false">IF(Underwriting!$A37="","",Underwriting!$D37)</f>
        <v/>
      </c>
      <c r="F37" s="11" t="str">
        <f aca="false">IF(Underwriting!$A37="","",IF(Underwriting!$D37&gt;0,"Y","N"))</f>
        <v/>
      </c>
      <c r="G37" s="26" t="str">
        <f aca="false">IF(Underwriting!$A37="","",N(E37)*(DownPct+BuyerPremium))</f>
        <v/>
      </c>
      <c r="H37" s="26" t="str">
        <f aca="false">IF(Underwriting!$A37="","",IF(N(E37)&gt;0,N(E37)*(1-DownPct)+35,0))</f>
        <v/>
      </c>
      <c r="I37" s="26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26" t="str">
        <f aca="false">IF(Underwriting!$A37="","",G37+H37+I37)</f>
        <v/>
      </c>
      <c r="K37" s="26" t="str">
        <f aca="false">IF(Underwriting!$A37="","",SUMIF($F$3:F37,"Y",$J$3:J37))</f>
        <v/>
      </c>
      <c r="L37" s="0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false" outlineLevel="0" collapsed="false">
      <c r="A38" s="0" t="str">
        <f aca="false">Underwriting!$A38</f>
        <v/>
      </c>
      <c r="B38" s="0" t="str">
        <f aca="false">Underwriting!$B38</f>
        <v/>
      </c>
      <c r="C38" s="0" t="str">
        <f aca="false">Underwriting!$C38</f>
        <v/>
      </c>
      <c r="D38" s="26" t="str">
        <f aca="false">Underwriting!$D38</f>
        <v/>
      </c>
      <c r="E38" s="8" t="str">
        <f aca="false">IF(Underwriting!$A38="","",Underwriting!$D38)</f>
        <v/>
      </c>
      <c r="F38" s="11" t="str">
        <f aca="false">IF(Underwriting!$A38="","",IF(Underwriting!$D38&gt;0,"Y","N"))</f>
        <v/>
      </c>
      <c r="G38" s="26" t="str">
        <f aca="false">IF(Underwriting!$A38="","",N(E38)*(DownPct+BuyerPremium))</f>
        <v/>
      </c>
      <c r="H38" s="26" t="str">
        <f aca="false">IF(Underwriting!$A38="","",IF(N(E38)&gt;0,N(E38)*(1-DownPct)+35,0))</f>
        <v/>
      </c>
      <c r="I38" s="26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26" t="str">
        <f aca="false">IF(Underwriting!$A38="","",G38+H38+I38)</f>
        <v/>
      </c>
      <c r="K38" s="26" t="str">
        <f aca="false">IF(Underwriting!$A38="","",SUMIF($F$3:F38,"Y",$J$3:J38))</f>
        <v/>
      </c>
      <c r="L38" s="0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false" outlineLevel="0" collapsed="false">
      <c r="A39" s="0" t="str">
        <f aca="false">Underwriting!$A39</f>
        <v/>
      </c>
      <c r="B39" s="0" t="str">
        <f aca="false">Underwriting!$B39</f>
        <v/>
      </c>
      <c r="C39" s="0" t="str">
        <f aca="false">Underwriting!$C39</f>
        <v/>
      </c>
      <c r="D39" s="26" t="str">
        <f aca="false">Underwriting!$D39</f>
        <v/>
      </c>
      <c r="E39" s="8" t="str">
        <f aca="false">IF(Underwriting!$A39="","",Underwriting!$D39)</f>
        <v/>
      </c>
      <c r="F39" s="11" t="str">
        <f aca="false">IF(Underwriting!$A39="","",IF(Underwriting!$D39&gt;0,"Y","N"))</f>
        <v/>
      </c>
      <c r="G39" s="26" t="str">
        <f aca="false">IF(Underwriting!$A39="","",N(E39)*(DownPct+BuyerPremium))</f>
        <v/>
      </c>
      <c r="H39" s="26" t="str">
        <f aca="false">IF(Underwriting!$A39="","",IF(N(E39)&gt;0,N(E39)*(1-DownPct)+35,0))</f>
        <v/>
      </c>
      <c r="I39" s="26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26" t="str">
        <f aca="false">IF(Underwriting!$A39="","",G39+H39+I39)</f>
        <v/>
      </c>
      <c r="K39" s="26" t="str">
        <f aca="false">IF(Underwriting!$A39="","",SUMIF($F$3:F39,"Y",$J$3:J39))</f>
        <v/>
      </c>
      <c r="L39" s="0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false" outlineLevel="0" collapsed="false">
      <c r="A40" s="0" t="str">
        <f aca="false">Underwriting!$A40</f>
        <v/>
      </c>
      <c r="B40" s="0" t="str">
        <f aca="false">Underwriting!$B40</f>
        <v/>
      </c>
      <c r="C40" s="0" t="str">
        <f aca="false">Underwriting!$C40</f>
        <v/>
      </c>
      <c r="D40" s="26" t="str">
        <f aca="false">Underwriting!$D40</f>
        <v/>
      </c>
      <c r="E40" s="8" t="str">
        <f aca="false">IF(Underwriting!$A40="","",Underwriting!$D40)</f>
        <v/>
      </c>
      <c r="F40" s="11" t="str">
        <f aca="false">IF(Underwriting!$A40="","",IF(Underwriting!$D40&gt;0,"Y","N"))</f>
        <v/>
      </c>
      <c r="G40" s="26" t="str">
        <f aca="false">IF(Underwriting!$A40="","",N(E40)*(DownPct+BuyerPremium))</f>
        <v/>
      </c>
      <c r="H40" s="26" t="str">
        <f aca="false">IF(Underwriting!$A40="","",IF(N(E40)&gt;0,N(E40)*(1-DownPct)+35,0))</f>
        <v/>
      </c>
      <c r="I40" s="26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26" t="str">
        <f aca="false">IF(Underwriting!$A40="","",G40+H40+I40)</f>
        <v/>
      </c>
      <c r="K40" s="26" t="str">
        <f aca="false">IF(Underwriting!$A40="","",SUMIF($F$3:F40,"Y",$J$3:J40))</f>
        <v/>
      </c>
      <c r="L40" s="0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false" outlineLevel="0" collapsed="false">
      <c r="A41" s="0" t="str">
        <f aca="false">Underwriting!$A41</f>
        <v/>
      </c>
      <c r="B41" s="0" t="str">
        <f aca="false">Underwriting!$B41</f>
        <v/>
      </c>
      <c r="C41" s="0" t="str">
        <f aca="false">Underwriting!$C41</f>
        <v/>
      </c>
      <c r="D41" s="26" t="str">
        <f aca="false">Underwriting!$D41</f>
        <v/>
      </c>
      <c r="E41" s="8" t="str">
        <f aca="false">IF(Underwriting!$A41="","",Underwriting!$D41)</f>
        <v/>
      </c>
      <c r="F41" s="11" t="str">
        <f aca="false">IF(Underwriting!$A41="","",IF(Underwriting!$D41&gt;0,"Y","N"))</f>
        <v/>
      </c>
      <c r="G41" s="26" t="str">
        <f aca="false">IF(Underwriting!$A41="","",N(E41)*(DownPct+BuyerPremium))</f>
        <v/>
      </c>
      <c r="H41" s="26" t="str">
        <f aca="false">IF(Underwriting!$A41="","",IF(N(E41)&gt;0,N(E41)*(1-DownPct)+35,0))</f>
        <v/>
      </c>
      <c r="I41" s="26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26" t="str">
        <f aca="false">IF(Underwriting!$A41="","",G41+H41+I41)</f>
        <v/>
      </c>
      <c r="K41" s="26" t="str">
        <f aca="false">IF(Underwriting!$A41="","",SUMIF($F$3:F41,"Y",$J$3:J41))</f>
        <v/>
      </c>
      <c r="L41" s="0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false" outlineLevel="0" collapsed="false">
      <c r="A42" s="0" t="str">
        <f aca="false">Underwriting!$A42</f>
        <v/>
      </c>
      <c r="B42" s="0" t="str">
        <f aca="false">Underwriting!$B42</f>
        <v/>
      </c>
      <c r="C42" s="0" t="str">
        <f aca="false">Underwriting!$C42</f>
        <v/>
      </c>
      <c r="D42" s="26" t="str">
        <f aca="false">Underwriting!$D42</f>
        <v/>
      </c>
      <c r="E42" s="8" t="str">
        <f aca="false">IF(Underwriting!$A42="","",Underwriting!$D42)</f>
        <v/>
      </c>
      <c r="F42" s="11" t="str">
        <f aca="false">IF(Underwriting!$A42="","",IF(Underwriting!$D42&gt;0,"Y","N"))</f>
        <v/>
      </c>
      <c r="G42" s="26" t="str">
        <f aca="false">IF(Underwriting!$A42="","",N(E42)*(DownPct+BuyerPremium))</f>
        <v/>
      </c>
      <c r="H42" s="26" t="str">
        <f aca="false">IF(Underwriting!$A42="","",IF(N(E42)&gt;0,N(E42)*(1-DownPct)+35,0))</f>
        <v/>
      </c>
      <c r="I42" s="26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26" t="str">
        <f aca="false">IF(Underwriting!$A42="","",G42+H42+I42)</f>
        <v/>
      </c>
      <c r="K42" s="26" t="str">
        <f aca="false">IF(Underwriting!$A42="","",SUMIF($F$3:F42,"Y",$J$3:J42))</f>
        <v/>
      </c>
      <c r="L42" s="0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false" outlineLevel="0" collapsed="false">
      <c r="A44" s="18" t="s">
        <v>232</v>
      </c>
      <c r="B44" s="26" t="n">
        <f aca="false">MAX(0,SUMIF(F3:F42,"Y",G3:G42)-BidderDeposit)</f>
        <v>144554.252465766</v>
      </c>
    </row>
    <row r="45" customFormat="false" ht="15" hidden="false" customHeight="false" outlineLevel="0" collapsed="false">
      <c r="A45" s="18" t="s">
        <v>233</v>
      </c>
      <c r="B45" s="26" t="n">
        <f aca="false">BidderDeposit</f>
        <v>5000</v>
      </c>
    </row>
    <row r="46" customFormat="false" ht="15" hidden="false" customHeight="false" outlineLevel="0" collapsed="false">
      <c r="A46" s="18" t="s">
        <v>234</v>
      </c>
      <c r="B46" s="26" t="n">
        <f aca="false">SUMIF(F3:F42,"Y",H3:H42)</f>
        <v>1170599.58451469</v>
      </c>
    </row>
    <row r="47" customFormat="false" ht="15" hidden="false" customHeight="false" outlineLevel="0" collapsed="false">
      <c r="A47" s="18" t="s">
        <v>235</v>
      </c>
      <c r="B47" s="26" t="n">
        <f aca="false">SUMIF(F3:F42,"Y",I3:I42)</f>
        <v>1096609.6665</v>
      </c>
    </row>
    <row r="48" customFormat="false" ht="15" hidden="false" customHeight="false" outlineLevel="0" collapsed="false">
      <c r="A48" s="18" t="s">
        <v>236</v>
      </c>
      <c r="B48" s="26" t="n">
        <f aca="false">SUMIF(F3:F42,"Y",J3:J42)</f>
        <v>2416763.50348046</v>
      </c>
    </row>
    <row r="49" customFormat="false" ht="15" hidden="false" customHeight="false" outlineLevel="0" collapsed="false">
      <c r="A49" s="18" t="s">
        <v>237</v>
      </c>
      <c r="B49" s="26" t="n">
        <f aca="false">CapitalCap</f>
        <v>1000000</v>
      </c>
    </row>
    <row r="50" customFormat="false" ht="15" hidden="false" customHeight="false" outlineLevel="0" collapsed="false">
      <c r="A50" s="18" t="s">
        <v>238</v>
      </c>
      <c r="B50" s="26" t="n">
        <f aca="false">B49-B48</f>
        <v>-1416763.50348046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2026-10-22T03:27:48Z</dcterms:created>
  <dc:creator>openpyxl</dc:creator>
  <dc:description/>
  <dc:language>en-US</dc:language>
  <cp:lastModifiedBy/>
  <dcterms:modified xsi:type="dcterms:W3CDTF">2026-10-22T03:27:48Z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