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Returns by bid" sheetId="3" state="visible" r:id="rId3"/>
    <sheet xmlns:r="http://schemas.openxmlformats.org/officeDocument/2006/relationships" name="Hold" sheetId="4" state="visible" r:id="rId4"/>
    <sheet xmlns:r="http://schemas.openxmlformats.org/officeDocument/2006/relationships" name="Calcul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80 W Sharpnack St (auction 1312040): max bid = NPV at 8%/yr equals $50k; ceiling = NPV 0</t>
        </is>
      </c>
    </row>
    <row r="2">
      <c r="A2" t="inlineStr">
        <is>
          <t>Already renovated (unpermitted) and listed as a short sale at $399,900. Plaintiff holds the 1st (Wildcat released). Deed 12 mo. Selling costs 9.29%. Bid paid 11.5% Nov 4, 90% Nov 18.</t>
        </is>
      </c>
    </row>
    <row r="4">
      <c r="A4" s="2" t="inlineStr">
        <is>
          <t>Vacant at deed</t>
        </is>
      </c>
    </row>
    <row r="5">
      <c r="A5" s="2" t="inlineStr">
        <is>
          <t>Scope (cost)</t>
        </is>
      </c>
      <c r="B5" s="3" t="inlineStr">
        <is>
          <t>Resale Low $385k: max / ceiling</t>
        </is>
      </c>
      <c r="C5" s="3" t="inlineStr">
        <is>
          <t>Resale Base $425k: max / ceiling</t>
        </is>
      </c>
      <c r="D5" s="3" t="inlineStr">
        <is>
          <t>Resale High $475k: max / ceiling</t>
        </is>
      </c>
    </row>
    <row r="6">
      <c r="A6" t="inlineStr">
        <is>
          <t>Make-ready (paint, punch list, clean) $20k</t>
        </is>
      </c>
      <c r="B6" t="inlineStr">
        <is>
          <t>$223k / $272k</t>
        </is>
      </c>
      <c r="C6" t="inlineStr">
        <is>
          <t>$255k / $304k</t>
        </is>
      </c>
      <c r="D6" t="inlineStr">
        <is>
          <t>$295k / $344k</t>
        </is>
      </c>
    </row>
    <row r="7">
      <c r="A7" t="inlineStr">
        <is>
          <t>Light + permit legalization (base) $40k</t>
        </is>
      </c>
      <c r="B7" t="inlineStr">
        <is>
          <t>$202k / $251k</t>
        </is>
      </c>
      <c r="C7" s="4" t="inlineStr">
        <is>
          <t>$234k / $283k</t>
        </is>
      </c>
      <c r="D7" t="inlineStr">
        <is>
          <t>$274k / $323k</t>
        </is>
      </c>
    </row>
    <row r="8">
      <c r="A8" t="inlineStr">
        <is>
          <t>Medium: vacancy/freeze damage + legalization $75k</t>
        </is>
      </c>
      <c r="B8" t="inlineStr">
        <is>
          <t>$168k / $217k</t>
        </is>
      </c>
      <c r="C8" t="inlineStr">
        <is>
          <t>$199k / $249k</t>
        </is>
      </c>
      <c r="D8" t="inlineStr">
        <is>
          <t>$239k / $288k</t>
        </is>
      </c>
    </row>
    <row r="9">
      <c r="A9" t="inlineStr">
        <is>
          <t>Heavy: stripped or failed inspections $130k</t>
        </is>
      </c>
      <c r="B9" t="inlineStr">
        <is>
          <t>$116k / $165k</t>
        </is>
      </c>
      <c r="C9" t="inlineStr">
        <is>
          <t>$147k / $196k</t>
        </is>
      </c>
      <c r="D9" t="inlineStr">
        <is>
          <t>$187k / $236k</t>
        </is>
      </c>
    </row>
    <row r="11">
      <c r="A11" s="2" t="inlineStr">
        <is>
          <t>Occupied (squatter/tenant): cash for keys / ejectment 8.5 mo</t>
        </is>
      </c>
    </row>
    <row r="12">
      <c r="A12" s="2" t="inlineStr">
        <is>
          <t>Scope (cost)</t>
        </is>
      </c>
      <c r="B12" s="3" t="inlineStr">
        <is>
          <t>Resale Low $385k: max / ceiling</t>
        </is>
      </c>
      <c r="C12" s="3" t="inlineStr">
        <is>
          <t>Resale Base $425k: max / ceiling</t>
        </is>
      </c>
      <c r="D12" s="3" t="inlineStr">
        <is>
          <t>Resale High $475k: max / ceiling</t>
        </is>
      </c>
    </row>
    <row r="13">
      <c r="A13" t="inlineStr">
        <is>
          <t>Make-ready (paint, punch list, clean) $20k</t>
        </is>
      </c>
      <c r="B13" t="inlineStr">
        <is>
          <t>$197k / $246k</t>
        </is>
      </c>
      <c r="C13" t="inlineStr">
        <is>
          <t>$227k / $277k</t>
        </is>
      </c>
      <c r="D13" t="inlineStr">
        <is>
          <t>$266k / $315k</t>
        </is>
      </c>
    </row>
    <row r="14">
      <c r="A14" t="inlineStr">
        <is>
          <t>Light + permit legalization (base) $40k</t>
        </is>
      </c>
      <c r="B14" t="inlineStr">
        <is>
          <t>$177k / $226k</t>
        </is>
      </c>
      <c r="C14" s="4" t="inlineStr">
        <is>
          <t>$207k / $257k</t>
        </is>
      </c>
      <c r="D14" t="inlineStr">
        <is>
          <t>$245k / $295k</t>
        </is>
      </c>
    </row>
    <row r="15">
      <c r="A15" t="inlineStr">
        <is>
          <t>Medium: vacancy/freeze damage + legalization $75k</t>
        </is>
      </c>
      <c r="B15" t="inlineStr">
        <is>
          <t>$144k / $194k</t>
        </is>
      </c>
      <c r="C15" t="inlineStr">
        <is>
          <t>$174k / $224k</t>
        </is>
      </c>
      <c r="D15" t="inlineStr">
        <is>
          <t>$212k / $262k</t>
        </is>
      </c>
    </row>
    <row r="16">
      <c r="A16" t="inlineStr">
        <is>
          <t>Heavy: stripped or failed inspections $130k</t>
        </is>
      </c>
      <c r="B16" t="inlineStr">
        <is>
          <t>$95k / $144k</t>
        </is>
      </c>
      <c r="C16" t="inlineStr">
        <is>
          <t>$125k / $174k</t>
        </is>
      </c>
      <c r="D16" t="inlineStr">
        <is>
          <t>$162k / $212k</t>
        </is>
      </c>
    </row>
    <row r="18">
      <c r="A18" s="2" t="inlineStr">
        <is>
          <t>Probability-weighted walk-away (70% vacant / 30% occupied, base scope, resale 30/50/20): $224k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occupancy</t>
        </is>
      </c>
      <c r="B1" s="3" t="inlineStr">
        <is>
          <t>scope</t>
        </is>
      </c>
      <c r="C1" s="3" t="inlineStr">
        <is>
          <t>rehab</t>
        </is>
      </c>
      <c r="D1" s="3" t="inlineStr">
        <is>
          <t>arv</t>
        </is>
      </c>
      <c r="E1" s="3" t="inlineStr">
        <is>
          <t>sale_month</t>
        </is>
      </c>
      <c r="F1" s="3" t="inlineStr">
        <is>
          <t>max_bid_npv50k</t>
        </is>
      </c>
      <c r="G1" s="3" t="inlineStr">
        <is>
          <t>nominal_profit_at_max</t>
        </is>
      </c>
      <c r="H1" s="3" t="inlineStr">
        <is>
          <t>ceiling_npv0</t>
        </is>
      </c>
      <c r="I1" s="3" t="inlineStr">
        <is>
          <t>profit_at_175k</t>
        </is>
      </c>
      <c r="J1" s="3" t="inlineStr">
        <is>
          <t>npv8_at_175k</t>
        </is>
      </c>
      <c r="K1" s="3" t="inlineStr">
        <is>
          <t>profit_at_200k</t>
        </is>
      </c>
      <c r="L1" s="3" t="inlineStr">
        <is>
          <t>npv8_at_200k</t>
        </is>
      </c>
      <c r="M1" s="3" t="inlineStr">
        <is>
          <t>profit_at_225k</t>
        </is>
      </c>
      <c r="N1" s="3" t="inlineStr">
        <is>
          <t>npv8_at_225k</t>
        </is>
      </c>
      <c r="O1" s="3" t="inlineStr">
        <is>
          <t>profit_at_250k</t>
        </is>
      </c>
      <c r="P1" s="3" t="inlineStr">
        <is>
          <t>npv8_at_250k</t>
        </is>
      </c>
      <c r="Q1" s="3" t="inlineStr">
        <is>
          <t>profit_at_275k</t>
        </is>
      </c>
      <c r="R1" s="3" t="inlineStr">
        <is>
          <t>npv8_at_275k</t>
        </is>
      </c>
    </row>
    <row r="2">
      <c r="A2" t="inlineStr">
        <is>
          <t>Vacant at deed</t>
        </is>
      </c>
      <c r="B2" t="inlineStr">
        <is>
          <t>Make-ready (paint, punch list, clean)</t>
        </is>
      </c>
      <c r="C2" t="n">
        <v>20000</v>
      </c>
      <c r="D2" t="n">
        <v>385000</v>
      </c>
      <c r="E2" t="n">
        <v>17</v>
      </c>
      <c r="F2" t="n">
        <v>223000</v>
      </c>
      <c r="G2" t="n">
        <v>82000</v>
      </c>
      <c r="H2" t="n">
        <v>272000</v>
      </c>
      <c r="I2" t="n">
        <v>131000</v>
      </c>
      <c r="J2" t="n">
        <v>98000</v>
      </c>
      <c r="K2" t="n">
        <v>106000</v>
      </c>
      <c r="L2" t="n">
        <v>73000</v>
      </c>
      <c r="M2" t="n">
        <v>80000</v>
      </c>
      <c r="N2" t="n">
        <v>48000</v>
      </c>
      <c r="O2" t="n">
        <v>55000</v>
      </c>
      <c r="P2" t="n">
        <v>22000</v>
      </c>
      <c r="Q2" t="n">
        <v>29000</v>
      </c>
      <c r="R2" t="n">
        <v>-3000</v>
      </c>
    </row>
    <row r="3">
      <c r="A3" t="inlineStr">
        <is>
          <t>Vacant at deed</t>
        </is>
      </c>
      <c r="B3" t="inlineStr">
        <is>
          <t>Make-ready (paint, punch list, clean)</t>
        </is>
      </c>
      <c r="C3" t="n">
        <v>20000</v>
      </c>
      <c r="D3" t="n">
        <v>425000</v>
      </c>
      <c r="E3" t="n">
        <v>17</v>
      </c>
      <c r="F3" t="n">
        <v>255000</v>
      </c>
      <c r="G3" t="n">
        <v>86000</v>
      </c>
      <c r="H3" t="n">
        <v>304000</v>
      </c>
      <c r="I3" t="n">
        <v>167000</v>
      </c>
      <c r="J3" t="n">
        <v>131000</v>
      </c>
      <c r="K3" t="n">
        <v>142000</v>
      </c>
      <c r="L3" t="n">
        <v>106000</v>
      </c>
      <c r="M3" t="n">
        <v>116000</v>
      </c>
      <c r="N3" t="n">
        <v>80000</v>
      </c>
      <c r="O3" t="n">
        <v>91000</v>
      </c>
      <c r="P3" t="n">
        <v>55000</v>
      </c>
      <c r="Q3" t="n">
        <v>66000</v>
      </c>
      <c r="R3" t="n">
        <v>30000</v>
      </c>
    </row>
    <row r="4">
      <c r="A4" t="inlineStr">
        <is>
          <t>Vacant at deed</t>
        </is>
      </c>
      <c r="B4" t="inlineStr">
        <is>
          <t>Make-ready (paint, punch list, clean)</t>
        </is>
      </c>
      <c r="C4" t="n">
        <v>20000</v>
      </c>
      <c r="D4" t="n">
        <v>475000</v>
      </c>
      <c r="E4" t="n">
        <v>17</v>
      </c>
      <c r="F4" t="n">
        <v>295000</v>
      </c>
      <c r="G4" t="n">
        <v>91000</v>
      </c>
      <c r="H4" t="n">
        <v>344000</v>
      </c>
      <c r="I4" t="n">
        <v>213000</v>
      </c>
      <c r="J4" t="n">
        <v>171000</v>
      </c>
      <c r="K4" t="n">
        <v>187000</v>
      </c>
      <c r="L4" t="n">
        <v>146000</v>
      </c>
      <c r="M4" t="n">
        <v>162000</v>
      </c>
      <c r="N4" t="n">
        <v>121000</v>
      </c>
      <c r="O4" t="n">
        <v>136000</v>
      </c>
      <c r="P4" t="n">
        <v>96000</v>
      </c>
      <c r="Q4" t="n">
        <v>111000</v>
      </c>
      <c r="R4" t="n">
        <v>70000</v>
      </c>
    </row>
    <row r="5">
      <c r="A5" t="inlineStr">
        <is>
          <t>Vacant at deed</t>
        </is>
      </c>
      <c r="B5" t="inlineStr">
        <is>
          <t>Light + permit legalization (base)</t>
        </is>
      </c>
      <c r="C5" t="n">
        <v>40000</v>
      </c>
      <c r="D5" t="n">
        <v>385000</v>
      </c>
      <c r="E5" t="n">
        <v>18</v>
      </c>
      <c r="F5" t="n">
        <v>202000</v>
      </c>
      <c r="G5" t="n">
        <v>83000</v>
      </c>
      <c r="H5" t="n">
        <v>251000</v>
      </c>
      <c r="I5" t="n">
        <v>110000</v>
      </c>
      <c r="J5" t="n">
        <v>77000</v>
      </c>
      <c r="K5" t="n">
        <v>84000</v>
      </c>
      <c r="L5" t="n">
        <v>52000</v>
      </c>
      <c r="M5" t="n">
        <v>59000</v>
      </c>
      <c r="N5" t="n">
        <v>27000</v>
      </c>
      <c r="O5" t="n">
        <v>34000</v>
      </c>
      <c r="P5" t="n">
        <v>1000</v>
      </c>
      <c r="Q5" t="n">
        <v>8000</v>
      </c>
      <c r="R5" t="n">
        <v>-24000</v>
      </c>
    </row>
    <row r="6">
      <c r="A6" t="inlineStr">
        <is>
          <t>Vacant at deed</t>
        </is>
      </c>
      <c r="B6" t="inlineStr">
        <is>
          <t>Light + permit legalization (base)</t>
        </is>
      </c>
      <c r="C6" t="n">
        <v>40000</v>
      </c>
      <c r="D6" t="n">
        <v>425000</v>
      </c>
      <c r="E6" t="n">
        <v>18</v>
      </c>
      <c r="F6" t="n">
        <v>234000</v>
      </c>
      <c r="G6" t="n">
        <v>87000</v>
      </c>
      <c r="H6" t="n">
        <v>283000</v>
      </c>
      <c r="I6" t="n">
        <v>146000</v>
      </c>
      <c r="J6" t="n">
        <v>109000</v>
      </c>
      <c r="K6" t="n">
        <v>121000</v>
      </c>
      <c r="L6" t="n">
        <v>84000</v>
      </c>
      <c r="M6" t="n">
        <v>95000</v>
      </c>
      <c r="N6" t="n">
        <v>59000</v>
      </c>
      <c r="O6" t="n">
        <v>70000</v>
      </c>
      <c r="P6" t="n">
        <v>34000</v>
      </c>
      <c r="Q6" t="n">
        <v>45000</v>
      </c>
      <c r="R6" t="n">
        <v>8000</v>
      </c>
    </row>
    <row r="7">
      <c r="A7" t="inlineStr">
        <is>
          <t>Vacant at deed</t>
        </is>
      </c>
      <c r="B7" t="inlineStr">
        <is>
          <t>Light + permit legalization (base)</t>
        </is>
      </c>
      <c r="C7" t="n">
        <v>40000</v>
      </c>
      <c r="D7" t="n">
        <v>475000</v>
      </c>
      <c r="E7" t="n">
        <v>18</v>
      </c>
      <c r="F7" t="n">
        <v>274000</v>
      </c>
      <c r="G7" t="n">
        <v>91000</v>
      </c>
      <c r="H7" t="n">
        <v>323000</v>
      </c>
      <c r="I7" t="n">
        <v>192000</v>
      </c>
      <c r="J7" t="n">
        <v>150000</v>
      </c>
      <c r="K7" t="n">
        <v>166000</v>
      </c>
      <c r="L7" t="n">
        <v>125000</v>
      </c>
      <c r="M7" t="n">
        <v>141000</v>
      </c>
      <c r="N7" t="n">
        <v>99000</v>
      </c>
      <c r="O7" t="n">
        <v>115000</v>
      </c>
      <c r="P7" t="n">
        <v>74000</v>
      </c>
      <c r="Q7" t="n">
        <v>90000</v>
      </c>
      <c r="R7" t="n">
        <v>49000</v>
      </c>
    </row>
    <row r="8">
      <c r="A8" t="inlineStr">
        <is>
          <t>Vacant at deed</t>
        </is>
      </c>
      <c r="B8" t="inlineStr">
        <is>
          <t>Medium: vacancy/freeze damage + legalization</t>
        </is>
      </c>
      <c r="C8" t="n">
        <v>75000</v>
      </c>
      <c r="D8" t="n">
        <v>385000</v>
      </c>
      <c r="E8" t="n">
        <v>19</v>
      </c>
      <c r="F8" t="n">
        <v>168000</v>
      </c>
      <c r="G8" t="n">
        <v>81000</v>
      </c>
      <c r="H8" t="n">
        <v>217000</v>
      </c>
      <c r="I8" t="n">
        <v>74000</v>
      </c>
      <c r="J8" t="n">
        <v>42000</v>
      </c>
      <c r="K8" t="n">
        <v>48000</v>
      </c>
      <c r="L8" t="n">
        <v>17000</v>
      </c>
      <c r="M8" t="n">
        <v>23000</v>
      </c>
      <c r="N8" t="n">
        <v>-8000</v>
      </c>
      <c r="O8" t="n">
        <v>-2000</v>
      </c>
      <c r="P8" t="n">
        <v>-33000</v>
      </c>
      <c r="Q8" t="n">
        <v>-28000</v>
      </c>
      <c r="R8" t="n">
        <v>-59000</v>
      </c>
    </row>
    <row r="9">
      <c r="A9" t="inlineStr">
        <is>
          <t>Vacant at deed</t>
        </is>
      </c>
      <c r="B9" t="inlineStr">
        <is>
          <t>Medium: vacancy/freeze damage + legalization</t>
        </is>
      </c>
      <c r="C9" t="n">
        <v>75000</v>
      </c>
      <c r="D9" t="n">
        <v>425000</v>
      </c>
      <c r="E9" t="n">
        <v>19</v>
      </c>
      <c r="F9" t="n">
        <v>199000</v>
      </c>
      <c r="G9" t="n">
        <v>85000</v>
      </c>
      <c r="H9" t="n">
        <v>249000</v>
      </c>
      <c r="I9" t="n">
        <v>110000</v>
      </c>
      <c r="J9" t="n">
        <v>75000</v>
      </c>
      <c r="K9" t="n">
        <v>85000</v>
      </c>
      <c r="L9" t="n">
        <v>49000</v>
      </c>
      <c r="M9" t="n">
        <v>59000</v>
      </c>
      <c r="N9" t="n">
        <v>24000</v>
      </c>
      <c r="O9" t="n">
        <v>34000</v>
      </c>
      <c r="P9" t="n">
        <v>-1000</v>
      </c>
      <c r="Q9" t="n">
        <v>9000</v>
      </c>
      <c r="R9" t="n">
        <v>-27000</v>
      </c>
    </row>
    <row r="10">
      <c r="A10" t="inlineStr">
        <is>
          <t>Vacant at deed</t>
        </is>
      </c>
      <c r="B10" t="inlineStr">
        <is>
          <t>Medium: vacancy/freeze damage + legalization</t>
        </is>
      </c>
      <c r="C10" t="n">
        <v>75000</v>
      </c>
      <c r="D10" t="n">
        <v>475000</v>
      </c>
      <c r="E10" t="n">
        <v>19</v>
      </c>
      <c r="F10" t="n">
        <v>239000</v>
      </c>
      <c r="G10" t="n">
        <v>91000</v>
      </c>
      <c r="H10" t="n">
        <v>288000</v>
      </c>
      <c r="I10" t="n">
        <v>155000</v>
      </c>
      <c r="J10" t="n">
        <v>115000</v>
      </c>
      <c r="K10" t="n">
        <v>130000</v>
      </c>
      <c r="L10" t="n">
        <v>89000</v>
      </c>
      <c r="M10" t="n">
        <v>105000</v>
      </c>
      <c r="N10" t="n">
        <v>64000</v>
      </c>
      <c r="O10" t="n">
        <v>79000</v>
      </c>
      <c r="P10" t="n">
        <v>39000</v>
      </c>
      <c r="Q10" t="n">
        <v>54000</v>
      </c>
      <c r="R10" t="n">
        <v>14000</v>
      </c>
    </row>
    <row r="11">
      <c r="A11" t="inlineStr">
        <is>
          <t>Vacant at deed</t>
        </is>
      </c>
      <c r="B11" t="inlineStr">
        <is>
          <t>Heavy: stripped or failed inspections</t>
        </is>
      </c>
      <c r="C11" t="n">
        <v>130000</v>
      </c>
      <c r="D11" t="n">
        <v>385000</v>
      </c>
      <c r="E11" t="n">
        <v>20</v>
      </c>
      <c r="F11" t="n">
        <v>116000</v>
      </c>
      <c r="G11" t="n">
        <v>78000</v>
      </c>
      <c r="H11" t="n">
        <v>165000</v>
      </c>
      <c r="I11" t="n">
        <v>18000</v>
      </c>
      <c r="J11" t="n">
        <v>-10000</v>
      </c>
      <c r="K11" t="n">
        <v>-8000</v>
      </c>
      <c r="L11" t="n">
        <v>-35000</v>
      </c>
      <c r="M11" t="n">
        <v>-33000</v>
      </c>
      <c r="N11" t="n">
        <v>-61000</v>
      </c>
      <c r="O11" t="n">
        <v>-58000</v>
      </c>
      <c r="P11" t="n">
        <v>-86000</v>
      </c>
      <c r="Q11" t="n">
        <v>-84000</v>
      </c>
      <c r="R11" t="n">
        <v>-111000</v>
      </c>
    </row>
    <row r="12">
      <c r="A12" t="inlineStr">
        <is>
          <t>Vacant at deed</t>
        </is>
      </c>
      <c r="B12" t="inlineStr">
        <is>
          <t>Heavy: stripped or failed inspections</t>
        </is>
      </c>
      <c r="C12" t="n">
        <v>130000</v>
      </c>
      <c r="D12" t="n">
        <v>425000</v>
      </c>
      <c r="E12" t="n">
        <v>20</v>
      </c>
      <c r="F12" t="n">
        <v>147000</v>
      </c>
      <c r="G12" t="n">
        <v>82000</v>
      </c>
      <c r="H12" t="n">
        <v>196000</v>
      </c>
      <c r="I12" t="n">
        <v>54000</v>
      </c>
      <c r="J12" t="n">
        <v>22000</v>
      </c>
      <c r="K12" t="n">
        <v>29000</v>
      </c>
      <c r="L12" t="n">
        <v>-4000</v>
      </c>
      <c r="M12" t="n">
        <v>3000</v>
      </c>
      <c r="N12" t="n">
        <v>-29000</v>
      </c>
      <c r="O12" t="n">
        <v>-22000</v>
      </c>
      <c r="P12" t="n">
        <v>-54000</v>
      </c>
      <c r="Q12" t="n">
        <v>-47000</v>
      </c>
      <c r="R12" t="n">
        <v>-79000</v>
      </c>
    </row>
    <row r="13">
      <c r="A13" t="inlineStr">
        <is>
          <t>Vacant at deed</t>
        </is>
      </c>
      <c r="B13" t="inlineStr">
        <is>
          <t>Heavy: stripped or failed inspections</t>
        </is>
      </c>
      <c r="C13" t="n">
        <v>130000</v>
      </c>
      <c r="D13" t="n">
        <v>475000</v>
      </c>
      <c r="E13" t="n">
        <v>20</v>
      </c>
      <c r="F13" t="n">
        <v>187000</v>
      </c>
      <c r="G13" t="n">
        <v>88000</v>
      </c>
      <c r="H13" t="n">
        <v>236000</v>
      </c>
      <c r="I13" t="n">
        <v>99000</v>
      </c>
      <c r="J13" t="n">
        <v>62000</v>
      </c>
      <c r="K13" t="n">
        <v>74000</v>
      </c>
      <c r="L13" t="n">
        <v>36000</v>
      </c>
      <c r="M13" t="n">
        <v>49000</v>
      </c>
      <c r="N13" t="n">
        <v>11000</v>
      </c>
      <c r="O13" t="n">
        <v>23000</v>
      </c>
      <c r="P13" t="n">
        <v>-14000</v>
      </c>
      <c r="Q13" t="n">
        <v>-2000</v>
      </c>
      <c r="R13" t="n">
        <v>-40000</v>
      </c>
    </row>
    <row r="14">
      <c r="A14" t="inlineStr">
        <is>
          <t>Occupied (squatter/tenant): cash for keys / ejectment 8.5 mo</t>
        </is>
      </c>
      <c r="B14" t="inlineStr">
        <is>
          <t>Make-ready (paint, punch list, clean)</t>
        </is>
      </c>
      <c r="C14" t="n">
        <v>20000</v>
      </c>
      <c r="D14" t="n">
        <v>385000</v>
      </c>
      <c r="E14" t="n">
        <v>24.5</v>
      </c>
      <c r="F14" t="n">
        <v>197000</v>
      </c>
      <c r="G14" t="n">
        <v>95000</v>
      </c>
      <c r="H14" t="n">
        <v>246000</v>
      </c>
      <c r="I14" t="n">
        <v>117000</v>
      </c>
      <c r="J14" t="n">
        <v>72000</v>
      </c>
      <c r="K14" t="n">
        <v>91000</v>
      </c>
      <c r="L14" t="n">
        <v>47000</v>
      </c>
      <c r="M14" t="n">
        <v>66000</v>
      </c>
      <c r="N14" t="n">
        <v>21000</v>
      </c>
      <c r="O14" t="n">
        <v>41000</v>
      </c>
      <c r="P14" t="n">
        <v>-4000</v>
      </c>
      <c r="Q14" t="n">
        <v>15000</v>
      </c>
      <c r="R14" t="n">
        <v>-29000</v>
      </c>
    </row>
    <row r="15">
      <c r="A15" t="inlineStr">
        <is>
          <t>Occupied (squatter/tenant): cash for keys / ejectment 8.5 mo</t>
        </is>
      </c>
      <c r="B15" t="inlineStr">
        <is>
          <t>Make-ready (paint, punch list, clean)</t>
        </is>
      </c>
      <c r="C15" t="n">
        <v>20000</v>
      </c>
      <c r="D15" t="n">
        <v>425000</v>
      </c>
      <c r="E15" t="n">
        <v>24.5</v>
      </c>
      <c r="F15" t="n">
        <v>227000</v>
      </c>
      <c r="G15" t="n">
        <v>100000</v>
      </c>
      <c r="H15" t="n">
        <v>277000</v>
      </c>
      <c r="I15" t="n">
        <v>153000</v>
      </c>
      <c r="J15" t="n">
        <v>103000</v>
      </c>
      <c r="K15" t="n">
        <v>128000</v>
      </c>
      <c r="L15" t="n">
        <v>78000</v>
      </c>
      <c r="M15" t="n">
        <v>102000</v>
      </c>
      <c r="N15" t="n">
        <v>52000</v>
      </c>
      <c r="O15" t="n">
        <v>77000</v>
      </c>
      <c r="P15" t="n">
        <v>27000</v>
      </c>
      <c r="Q15" t="n">
        <v>52000</v>
      </c>
      <c r="R15" t="n">
        <v>2000</v>
      </c>
    </row>
    <row r="16">
      <c r="A16" t="inlineStr">
        <is>
          <t>Occupied (squatter/tenant): cash for keys / ejectment 8.5 mo</t>
        </is>
      </c>
      <c r="B16" t="inlineStr">
        <is>
          <t>Make-ready (paint, punch list, clean)</t>
        </is>
      </c>
      <c r="C16" t="n">
        <v>20000</v>
      </c>
      <c r="D16" t="n">
        <v>475000</v>
      </c>
      <c r="E16" t="n">
        <v>24.5</v>
      </c>
      <c r="F16" t="n">
        <v>266000</v>
      </c>
      <c r="G16" t="n">
        <v>106000</v>
      </c>
      <c r="H16" t="n">
        <v>315000</v>
      </c>
      <c r="I16" t="n">
        <v>198000</v>
      </c>
      <c r="J16" t="n">
        <v>142000</v>
      </c>
      <c r="K16" t="n">
        <v>173000</v>
      </c>
      <c r="L16" t="n">
        <v>116000</v>
      </c>
      <c r="M16" t="n">
        <v>148000</v>
      </c>
      <c r="N16" t="n">
        <v>91000</v>
      </c>
      <c r="O16" t="n">
        <v>122000</v>
      </c>
      <c r="P16" t="n">
        <v>66000</v>
      </c>
      <c r="Q16" t="n">
        <v>97000</v>
      </c>
      <c r="R16" t="n">
        <v>41000</v>
      </c>
    </row>
    <row r="17">
      <c r="A17" t="inlineStr">
        <is>
          <t>Occupied (squatter/tenant): cash for keys / ejectment 8.5 mo</t>
        </is>
      </c>
      <c r="B17" t="inlineStr">
        <is>
          <t>Light + permit legalization (base)</t>
        </is>
      </c>
      <c r="C17" t="n">
        <v>40000</v>
      </c>
      <c r="D17" t="n">
        <v>385000</v>
      </c>
      <c r="E17" t="n">
        <v>25.5</v>
      </c>
      <c r="F17" t="n">
        <v>177000</v>
      </c>
      <c r="G17" t="n">
        <v>94000</v>
      </c>
      <c r="H17" t="n">
        <v>226000</v>
      </c>
      <c r="I17" t="n">
        <v>96000</v>
      </c>
      <c r="J17" t="n">
        <v>52000</v>
      </c>
      <c r="K17" t="n">
        <v>70000</v>
      </c>
      <c r="L17" t="n">
        <v>27000</v>
      </c>
      <c r="M17" t="n">
        <v>45000</v>
      </c>
      <c r="N17" t="n">
        <v>1000</v>
      </c>
      <c r="O17" t="n">
        <v>20000</v>
      </c>
      <c r="P17" t="n">
        <v>-24000</v>
      </c>
      <c r="Q17" t="n">
        <v>-6000</v>
      </c>
      <c r="R17" t="n">
        <v>-49000</v>
      </c>
    </row>
    <row r="18">
      <c r="A18" t="inlineStr">
        <is>
          <t>Occupied (squatter/tenant): cash for keys / ejectment 8.5 mo</t>
        </is>
      </c>
      <c r="B18" t="inlineStr">
        <is>
          <t>Light + permit legalization (base)</t>
        </is>
      </c>
      <c r="C18" t="n">
        <v>40000</v>
      </c>
      <c r="D18" t="n">
        <v>425000</v>
      </c>
      <c r="E18" t="n">
        <v>25.5</v>
      </c>
      <c r="F18" t="n">
        <v>207000</v>
      </c>
      <c r="G18" t="n">
        <v>99000</v>
      </c>
      <c r="H18" t="n">
        <v>257000</v>
      </c>
      <c r="I18" t="n">
        <v>132000</v>
      </c>
      <c r="J18" t="n">
        <v>83000</v>
      </c>
      <c r="K18" t="n">
        <v>107000</v>
      </c>
      <c r="L18" t="n">
        <v>57000</v>
      </c>
      <c r="M18" t="n">
        <v>81000</v>
      </c>
      <c r="N18" t="n">
        <v>32000</v>
      </c>
      <c r="O18" t="n">
        <v>56000</v>
      </c>
      <c r="P18" t="n">
        <v>7000</v>
      </c>
      <c r="Q18" t="n">
        <v>31000</v>
      </c>
      <c r="R18" t="n">
        <v>-19000</v>
      </c>
    </row>
    <row r="19">
      <c r="A19" t="inlineStr">
        <is>
          <t>Occupied (squatter/tenant): cash for keys / ejectment 8.5 mo</t>
        </is>
      </c>
      <c r="B19" t="inlineStr">
        <is>
          <t>Light + permit legalization (base)</t>
        </is>
      </c>
      <c r="C19" t="n">
        <v>40000</v>
      </c>
      <c r="D19" t="n">
        <v>475000</v>
      </c>
      <c r="E19" t="n">
        <v>25.5</v>
      </c>
      <c r="F19" t="n">
        <v>245000</v>
      </c>
      <c r="G19" t="n">
        <v>106000</v>
      </c>
      <c r="H19" t="n">
        <v>295000</v>
      </c>
      <c r="I19" t="n">
        <v>177000</v>
      </c>
      <c r="J19" t="n">
        <v>121000</v>
      </c>
      <c r="K19" t="n">
        <v>152000</v>
      </c>
      <c r="L19" t="n">
        <v>96000</v>
      </c>
      <c r="M19" t="n">
        <v>127000</v>
      </c>
      <c r="N19" t="n">
        <v>71000</v>
      </c>
      <c r="O19" t="n">
        <v>101000</v>
      </c>
      <c r="P19" t="n">
        <v>45000</v>
      </c>
      <c r="Q19" t="n">
        <v>76000</v>
      </c>
      <c r="R19" t="n">
        <v>20000</v>
      </c>
    </row>
    <row r="20">
      <c r="A20" t="inlineStr">
        <is>
          <t>Occupied (squatter/tenant): cash for keys / ejectment 8.5 mo</t>
        </is>
      </c>
      <c r="B20" t="inlineStr">
        <is>
          <t>Medium: vacancy/freeze damage + legalization</t>
        </is>
      </c>
      <c r="C20" t="n">
        <v>75000</v>
      </c>
      <c r="D20" t="n">
        <v>385000</v>
      </c>
      <c r="E20" t="n">
        <v>26.5</v>
      </c>
      <c r="F20" t="n">
        <v>144000</v>
      </c>
      <c r="G20" t="n">
        <v>91000</v>
      </c>
      <c r="H20" t="n">
        <v>194000</v>
      </c>
      <c r="I20" t="n">
        <v>60000</v>
      </c>
      <c r="J20" t="n">
        <v>19000</v>
      </c>
      <c r="K20" t="n">
        <v>34000</v>
      </c>
      <c r="L20" t="n">
        <v>-6000</v>
      </c>
      <c r="M20" t="n">
        <v>9000</v>
      </c>
      <c r="N20" t="n">
        <v>-32000</v>
      </c>
      <c r="O20" t="n">
        <v>-16000</v>
      </c>
      <c r="P20" t="n">
        <v>-57000</v>
      </c>
      <c r="Q20" t="n">
        <v>-42000</v>
      </c>
      <c r="R20" t="n">
        <v>-82000</v>
      </c>
    </row>
    <row r="21">
      <c r="A21" t="inlineStr">
        <is>
          <t>Occupied (squatter/tenant): cash for keys / ejectment 8.5 mo</t>
        </is>
      </c>
      <c r="B21" t="inlineStr">
        <is>
          <t>Medium: vacancy/freeze damage + legalization</t>
        </is>
      </c>
      <c r="C21" t="n">
        <v>75000</v>
      </c>
      <c r="D21" t="n">
        <v>425000</v>
      </c>
      <c r="E21" t="n">
        <v>26.5</v>
      </c>
      <c r="F21" t="n">
        <v>174000</v>
      </c>
      <c r="G21" t="n">
        <v>97000</v>
      </c>
      <c r="H21" t="n">
        <v>224000</v>
      </c>
      <c r="I21" t="n">
        <v>96000</v>
      </c>
      <c r="J21" t="n">
        <v>49000</v>
      </c>
      <c r="K21" t="n">
        <v>71000</v>
      </c>
      <c r="L21" t="n">
        <v>24000</v>
      </c>
      <c r="M21" t="n">
        <v>45000</v>
      </c>
      <c r="N21" t="n">
        <v>-1000</v>
      </c>
      <c r="O21" t="n">
        <v>20000</v>
      </c>
      <c r="P21" t="n">
        <v>-26000</v>
      </c>
      <c r="Q21" t="n">
        <v>-5000</v>
      </c>
      <c r="R21" t="n">
        <v>-52000</v>
      </c>
    </row>
    <row r="22">
      <c r="A22" t="inlineStr">
        <is>
          <t>Occupied (squatter/tenant): cash for keys / ejectment 8.5 mo</t>
        </is>
      </c>
      <c r="B22" t="inlineStr">
        <is>
          <t>Medium: vacancy/freeze damage + legalization</t>
        </is>
      </c>
      <c r="C22" t="n">
        <v>75000</v>
      </c>
      <c r="D22" t="n">
        <v>475000</v>
      </c>
      <c r="E22" t="n">
        <v>26.5</v>
      </c>
      <c r="F22" t="n">
        <v>212000</v>
      </c>
      <c r="G22" t="n">
        <v>104000</v>
      </c>
      <c r="H22" t="n">
        <v>262000</v>
      </c>
      <c r="I22" t="n">
        <v>141000</v>
      </c>
      <c r="J22" t="n">
        <v>88000</v>
      </c>
      <c r="K22" t="n">
        <v>116000</v>
      </c>
      <c r="L22" t="n">
        <v>62000</v>
      </c>
      <c r="M22" t="n">
        <v>91000</v>
      </c>
      <c r="N22" t="n">
        <v>37000</v>
      </c>
      <c r="O22" t="n">
        <v>65000</v>
      </c>
      <c r="P22" t="n">
        <v>12000</v>
      </c>
      <c r="Q22" t="n">
        <v>40000</v>
      </c>
      <c r="R22" t="n">
        <v>-13000</v>
      </c>
    </row>
    <row r="23">
      <c r="A23" t="inlineStr">
        <is>
          <t>Occupied (squatter/tenant): cash for keys / ejectment 8.5 mo</t>
        </is>
      </c>
      <c r="B23" t="inlineStr">
        <is>
          <t>Heavy: stripped or failed inspections</t>
        </is>
      </c>
      <c r="C23" t="n">
        <v>130000</v>
      </c>
      <c r="D23" t="n">
        <v>385000</v>
      </c>
      <c r="E23" t="n">
        <v>27.5</v>
      </c>
      <c r="F23" t="n">
        <v>95000</v>
      </c>
      <c r="G23" t="n">
        <v>85000</v>
      </c>
      <c r="H23" t="n">
        <v>144000</v>
      </c>
      <c r="I23" t="n">
        <v>4000</v>
      </c>
      <c r="J23" t="n">
        <v>-31000</v>
      </c>
      <c r="K23" t="n">
        <v>-22000</v>
      </c>
      <c r="L23" t="n">
        <v>-57000</v>
      </c>
      <c r="M23" t="n">
        <v>-47000</v>
      </c>
      <c r="N23" t="n">
        <v>-82000</v>
      </c>
      <c r="O23" t="n">
        <v>-72000</v>
      </c>
      <c r="P23" t="n">
        <v>-107000</v>
      </c>
      <c r="Q23" t="n">
        <v>-98000</v>
      </c>
      <c r="R23" t="n">
        <v>-133000</v>
      </c>
    </row>
    <row r="24">
      <c r="A24" t="inlineStr">
        <is>
          <t>Occupied (squatter/tenant): cash for keys / ejectment 8.5 mo</t>
        </is>
      </c>
      <c r="B24" t="inlineStr">
        <is>
          <t>Heavy: stripped or failed inspections</t>
        </is>
      </c>
      <c r="C24" t="n">
        <v>130000</v>
      </c>
      <c r="D24" t="n">
        <v>425000</v>
      </c>
      <c r="E24" t="n">
        <v>27.5</v>
      </c>
      <c r="F24" t="n">
        <v>125000</v>
      </c>
      <c r="G24" t="n">
        <v>91000</v>
      </c>
      <c r="H24" t="n">
        <v>174000</v>
      </c>
      <c r="I24" t="n">
        <v>40000</v>
      </c>
      <c r="J24" t="n">
        <v>-1000</v>
      </c>
      <c r="K24" t="n">
        <v>15000</v>
      </c>
      <c r="L24" t="n">
        <v>-26000</v>
      </c>
      <c r="M24" t="n">
        <v>-11000</v>
      </c>
      <c r="N24" t="n">
        <v>-51000</v>
      </c>
      <c r="O24" t="n">
        <v>-36000</v>
      </c>
      <c r="P24" t="n">
        <v>-77000</v>
      </c>
      <c r="Q24" t="n">
        <v>-61000</v>
      </c>
      <c r="R24" t="n">
        <v>-102000</v>
      </c>
    </row>
    <row r="25">
      <c r="A25" t="inlineStr">
        <is>
          <t>Occupied (squatter/tenant): cash for keys / ejectment 8.5 mo</t>
        </is>
      </c>
      <c r="B25" t="inlineStr">
        <is>
          <t>Heavy: stripped or failed inspections</t>
        </is>
      </c>
      <c r="C25" t="n">
        <v>130000</v>
      </c>
      <c r="D25" t="n">
        <v>475000</v>
      </c>
      <c r="E25" t="n">
        <v>27.5</v>
      </c>
      <c r="F25" t="n">
        <v>162000</v>
      </c>
      <c r="G25" t="n">
        <v>98000</v>
      </c>
      <c r="H25" t="n">
        <v>212000</v>
      </c>
      <c r="I25" t="n">
        <v>85000</v>
      </c>
      <c r="J25" t="n">
        <v>37000</v>
      </c>
      <c r="K25" t="n">
        <v>60000</v>
      </c>
      <c r="L25" t="n">
        <v>12000</v>
      </c>
      <c r="M25" t="n">
        <v>35000</v>
      </c>
      <c r="N25" t="n">
        <v>-13000</v>
      </c>
      <c r="O25" t="n">
        <v>9000</v>
      </c>
      <c r="P25" t="n">
        <v>-39000</v>
      </c>
      <c r="Q25" t="n">
        <v>-16000</v>
      </c>
      <c r="R25" t="n">
        <v>-64000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occupancy</t>
        </is>
      </c>
      <c r="B1" s="3" t="inlineStr">
        <is>
          <t>scope</t>
        </is>
      </c>
      <c r="C1" s="3" t="inlineStr">
        <is>
          <t>arv</t>
        </is>
      </c>
      <c r="D1" s="3" t="inlineStr">
        <is>
          <t>months_sale_to_sale</t>
        </is>
      </c>
      <c r="E1" s="3" t="inlineStr">
        <is>
          <t>bid</t>
        </is>
      </c>
      <c r="F1" s="3" t="inlineStr">
        <is>
          <t>all_in_cash</t>
        </is>
      </c>
      <c r="G1" s="3" t="inlineStr">
        <is>
          <t>profit</t>
        </is>
      </c>
      <c r="H1" s="3" t="inlineStr">
        <is>
          <t>annual_return_on_cash</t>
        </is>
      </c>
      <c r="I1" s="3" t="inlineStr">
        <is>
          <t>npv_at_8pct</t>
        </is>
      </c>
    </row>
    <row r="2">
      <c r="A2" t="inlineStr">
        <is>
          <t>Vacant at deed</t>
        </is>
      </c>
      <c r="B2" t="inlineStr">
        <is>
          <t>Make-ready (paint, punch list, clean)</t>
        </is>
      </c>
      <c r="C2" t="n">
        <v>425000</v>
      </c>
      <c r="D2" t="n">
        <v>17</v>
      </c>
      <c r="E2" t="n">
        <v>175000</v>
      </c>
      <c r="F2" t="n">
        <v>216000</v>
      </c>
      <c r="G2" t="n">
        <v>167200</v>
      </c>
      <c r="H2" t="n">
        <v>0.546</v>
      </c>
      <c r="I2" t="n">
        <v>130800</v>
      </c>
    </row>
    <row r="3">
      <c r="A3" t="inlineStr">
        <is>
          <t>Vacant at deed</t>
        </is>
      </c>
      <c r="B3" t="inlineStr">
        <is>
          <t>Make-ready (paint, punch list, clean)</t>
        </is>
      </c>
      <c r="C3" t="n">
        <v>425000</v>
      </c>
      <c r="D3" t="n">
        <v>17</v>
      </c>
      <c r="E3" t="n">
        <v>200000</v>
      </c>
      <c r="F3" t="n">
        <v>241400</v>
      </c>
      <c r="G3" t="n">
        <v>141800</v>
      </c>
      <c r="H3" t="n">
        <v>0.415</v>
      </c>
      <c r="I3" t="n">
        <v>105500</v>
      </c>
    </row>
    <row r="4">
      <c r="A4" t="inlineStr">
        <is>
          <t>Vacant at deed</t>
        </is>
      </c>
      <c r="B4" t="inlineStr">
        <is>
          <t>Make-ready (paint, punch list, clean)</t>
        </is>
      </c>
      <c r="C4" t="n">
        <v>425000</v>
      </c>
      <c r="D4" t="n">
        <v>17</v>
      </c>
      <c r="E4" t="n">
        <v>225000</v>
      </c>
      <c r="F4" t="n">
        <v>266800</v>
      </c>
      <c r="G4" t="n">
        <v>116400</v>
      </c>
      <c r="H4" t="n">
        <v>0.308</v>
      </c>
      <c r="I4" t="n">
        <v>80200</v>
      </c>
    </row>
    <row r="5">
      <c r="A5" t="inlineStr">
        <is>
          <t>Vacant at deed</t>
        </is>
      </c>
      <c r="B5" t="inlineStr">
        <is>
          <t>Make-ready (paint, punch list, clean)</t>
        </is>
      </c>
      <c r="C5" t="n">
        <v>425000</v>
      </c>
      <c r="D5" t="n">
        <v>17</v>
      </c>
      <c r="E5" t="n">
        <v>250000</v>
      </c>
      <c r="F5" t="n">
        <v>292200</v>
      </c>
      <c r="G5" t="n">
        <v>91000</v>
      </c>
      <c r="H5" t="n">
        <v>0.22</v>
      </c>
      <c r="I5" t="n">
        <v>54900</v>
      </c>
    </row>
    <row r="6">
      <c r="A6" t="inlineStr">
        <is>
          <t>Vacant at deed</t>
        </is>
      </c>
      <c r="B6" t="inlineStr">
        <is>
          <t>Make-ready (paint, punch list, clean)</t>
        </is>
      </c>
      <c r="C6" t="n">
        <v>425000</v>
      </c>
      <c r="D6" t="n">
        <v>17</v>
      </c>
      <c r="E6" t="n">
        <v>275000</v>
      </c>
      <c r="F6" t="n">
        <v>317500</v>
      </c>
      <c r="G6" t="n">
        <v>65700</v>
      </c>
      <c r="H6" t="n">
        <v>0.146</v>
      </c>
      <c r="I6" t="n">
        <v>29600</v>
      </c>
    </row>
    <row r="7">
      <c r="A7" t="inlineStr">
        <is>
          <t>Vacant at deed</t>
        </is>
      </c>
      <c r="B7" t="inlineStr">
        <is>
          <t>Light + permit legalization (base)</t>
        </is>
      </c>
      <c r="C7" t="n">
        <v>425000</v>
      </c>
      <c r="D7" t="n">
        <v>18</v>
      </c>
      <c r="E7" t="n">
        <v>175000</v>
      </c>
      <c r="F7" t="n">
        <v>236600</v>
      </c>
      <c r="G7" t="n">
        <v>146200</v>
      </c>
      <c r="H7" t="n">
        <v>0.412</v>
      </c>
      <c r="I7" t="n">
        <v>109500</v>
      </c>
    </row>
    <row r="8">
      <c r="A8" t="inlineStr">
        <is>
          <t>Vacant at deed</t>
        </is>
      </c>
      <c r="B8" t="inlineStr">
        <is>
          <t>Light + permit legalization (base)</t>
        </is>
      </c>
      <c r="C8" t="n">
        <v>425000</v>
      </c>
      <c r="D8" t="n">
        <v>18</v>
      </c>
      <c r="E8" t="n">
        <v>200000</v>
      </c>
      <c r="F8" t="n">
        <v>261900</v>
      </c>
      <c r="G8" t="n">
        <v>120800</v>
      </c>
      <c r="H8" t="n">
        <v>0.307</v>
      </c>
      <c r="I8" t="n">
        <v>84200</v>
      </c>
    </row>
    <row r="9">
      <c r="A9" t="inlineStr">
        <is>
          <t>Vacant at deed</t>
        </is>
      </c>
      <c r="B9" t="inlineStr">
        <is>
          <t>Light + permit legalization (base)</t>
        </is>
      </c>
      <c r="C9" t="n">
        <v>425000</v>
      </c>
      <c r="D9" t="n">
        <v>18</v>
      </c>
      <c r="E9" t="n">
        <v>225000</v>
      </c>
      <c r="F9" t="n">
        <v>287300</v>
      </c>
      <c r="G9" t="n">
        <v>95400</v>
      </c>
      <c r="H9" t="n">
        <v>0.221</v>
      </c>
      <c r="I9" t="n">
        <v>58900</v>
      </c>
    </row>
    <row r="10">
      <c r="A10" t="inlineStr">
        <is>
          <t>Vacant at deed</t>
        </is>
      </c>
      <c r="B10" t="inlineStr">
        <is>
          <t>Light + permit legalization (base)</t>
        </is>
      </c>
      <c r="C10" t="n">
        <v>425000</v>
      </c>
      <c r="D10" t="n">
        <v>18</v>
      </c>
      <c r="E10" t="n">
        <v>250000</v>
      </c>
      <c r="F10" t="n">
        <v>312700</v>
      </c>
      <c r="G10" t="n">
        <v>70000</v>
      </c>
      <c r="H10" t="n">
        <v>0.149</v>
      </c>
      <c r="I10" t="n">
        <v>33600</v>
      </c>
    </row>
    <row r="11">
      <c r="A11" t="inlineStr">
        <is>
          <t>Vacant at deed</t>
        </is>
      </c>
      <c r="B11" t="inlineStr">
        <is>
          <t>Light + permit legalization (base)</t>
        </is>
      </c>
      <c r="C11" t="n">
        <v>425000</v>
      </c>
      <c r="D11" t="n">
        <v>18</v>
      </c>
      <c r="E11" t="n">
        <v>275000</v>
      </c>
      <c r="F11" t="n">
        <v>338100</v>
      </c>
      <c r="G11" t="n">
        <v>44700</v>
      </c>
      <c r="H11" t="n">
        <v>0.08799999999999999</v>
      </c>
      <c r="I11" t="n">
        <v>8200</v>
      </c>
    </row>
    <row r="12">
      <c r="A12" t="inlineStr">
        <is>
          <t>Vacant at deed</t>
        </is>
      </c>
      <c r="B12" t="inlineStr">
        <is>
          <t>Medium: vacancy/freeze damage + legalization</t>
        </is>
      </c>
      <c r="C12" t="n">
        <v>425000</v>
      </c>
      <c r="D12" t="n">
        <v>19</v>
      </c>
      <c r="E12" t="n">
        <v>175000</v>
      </c>
      <c r="F12" t="n">
        <v>272100</v>
      </c>
      <c r="G12" t="n">
        <v>110100</v>
      </c>
      <c r="H12" t="n">
        <v>0.256</v>
      </c>
      <c r="I12" t="n">
        <v>74600</v>
      </c>
    </row>
    <row r="13">
      <c r="A13" t="inlineStr">
        <is>
          <t>Vacant at deed</t>
        </is>
      </c>
      <c r="B13" t="inlineStr">
        <is>
          <t>Medium: vacancy/freeze damage + legalization</t>
        </is>
      </c>
      <c r="C13" t="n">
        <v>425000</v>
      </c>
      <c r="D13" t="n">
        <v>19</v>
      </c>
      <c r="E13" t="n">
        <v>200000</v>
      </c>
      <c r="F13" t="n">
        <v>297500</v>
      </c>
      <c r="G13" t="n">
        <v>84800</v>
      </c>
      <c r="H13" t="n">
        <v>0.18</v>
      </c>
      <c r="I13" t="n">
        <v>49300</v>
      </c>
    </row>
    <row r="14">
      <c r="A14" t="inlineStr">
        <is>
          <t>Vacant at deed</t>
        </is>
      </c>
      <c r="B14" t="inlineStr">
        <is>
          <t>Medium: vacancy/freeze damage + legalization</t>
        </is>
      </c>
      <c r="C14" t="n">
        <v>425000</v>
      </c>
      <c r="D14" t="n">
        <v>19</v>
      </c>
      <c r="E14" t="n">
        <v>225000</v>
      </c>
      <c r="F14" t="n">
        <v>322800</v>
      </c>
      <c r="G14" t="n">
        <v>59400</v>
      </c>
      <c r="H14" t="n">
        <v>0.116</v>
      </c>
      <c r="I14" t="n">
        <v>24000</v>
      </c>
    </row>
    <row r="15">
      <c r="A15" t="inlineStr">
        <is>
          <t>Vacant at deed</t>
        </is>
      </c>
      <c r="B15" t="inlineStr">
        <is>
          <t>Medium: vacancy/freeze damage + legalization</t>
        </is>
      </c>
      <c r="C15" t="n">
        <v>425000</v>
      </c>
      <c r="D15" t="n">
        <v>19</v>
      </c>
      <c r="E15" t="n">
        <v>250000</v>
      </c>
      <c r="F15" t="n">
        <v>348200</v>
      </c>
      <c r="G15" t="n">
        <v>34000</v>
      </c>
      <c r="H15" t="n">
        <v>0.062</v>
      </c>
      <c r="I15" t="n">
        <v>-1300</v>
      </c>
    </row>
    <row r="16">
      <c r="A16" t="inlineStr">
        <is>
          <t>Vacant at deed</t>
        </is>
      </c>
      <c r="B16" t="inlineStr">
        <is>
          <t>Medium: vacancy/freeze damage + legalization</t>
        </is>
      </c>
      <c r="C16" t="n">
        <v>425000</v>
      </c>
      <c r="D16" t="n">
        <v>19</v>
      </c>
      <c r="E16" t="n">
        <v>275000</v>
      </c>
      <c r="F16" t="n">
        <v>373600</v>
      </c>
      <c r="G16" t="n">
        <v>8600</v>
      </c>
      <c r="H16" t="n">
        <v>0.015</v>
      </c>
      <c r="I16" t="n">
        <v>-26600</v>
      </c>
    </row>
    <row r="17">
      <c r="A17" t="inlineStr">
        <is>
          <t>Vacant at deed</t>
        </is>
      </c>
      <c r="B17" t="inlineStr">
        <is>
          <t>Heavy: stripped or failed inspections</t>
        </is>
      </c>
      <c r="C17" t="n">
        <v>425000</v>
      </c>
      <c r="D17" t="n">
        <v>20</v>
      </c>
      <c r="E17" t="n">
        <v>175000</v>
      </c>
      <c r="F17" t="n">
        <v>327600</v>
      </c>
      <c r="G17" t="n">
        <v>54100</v>
      </c>
      <c r="H17" t="n">
        <v>0.099</v>
      </c>
      <c r="I17" t="n">
        <v>21800</v>
      </c>
    </row>
    <row r="18">
      <c r="A18" t="inlineStr">
        <is>
          <t>Vacant at deed</t>
        </is>
      </c>
      <c r="B18" t="inlineStr">
        <is>
          <t>Heavy: stripped or failed inspections</t>
        </is>
      </c>
      <c r="C18" t="n">
        <v>425000</v>
      </c>
      <c r="D18" t="n">
        <v>20</v>
      </c>
      <c r="E18" t="n">
        <v>200000</v>
      </c>
      <c r="F18" t="n">
        <v>353000</v>
      </c>
      <c r="G18" t="n">
        <v>28700</v>
      </c>
      <c r="H18" t="n">
        <v>0.049</v>
      </c>
      <c r="I18" t="n">
        <v>-3500</v>
      </c>
    </row>
    <row r="19">
      <c r="A19" t="inlineStr">
        <is>
          <t>Vacant at deed</t>
        </is>
      </c>
      <c r="B19" t="inlineStr">
        <is>
          <t>Heavy: stripped or failed inspections</t>
        </is>
      </c>
      <c r="C19" t="n">
        <v>425000</v>
      </c>
      <c r="D19" t="n">
        <v>20</v>
      </c>
      <c r="E19" t="n">
        <v>225000</v>
      </c>
      <c r="F19" t="n">
        <v>378400</v>
      </c>
      <c r="G19" t="n">
        <v>3400</v>
      </c>
      <c r="H19" t="n">
        <v>0.005</v>
      </c>
      <c r="I19" t="n">
        <v>-28800</v>
      </c>
    </row>
    <row r="20">
      <c r="A20" t="inlineStr">
        <is>
          <t>Vacant at deed</t>
        </is>
      </c>
      <c r="B20" t="inlineStr">
        <is>
          <t>Heavy: stripped or failed inspections</t>
        </is>
      </c>
      <c r="C20" t="n">
        <v>425000</v>
      </c>
      <c r="D20" t="n">
        <v>20</v>
      </c>
      <c r="E20" t="n">
        <v>250000</v>
      </c>
      <c r="F20" t="n">
        <v>403700</v>
      </c>
      <c r="G20" t="n">
        <v>-22000</v>
      </c>
      <c r="H20" t="n">
        <v>-0.033</v>
      </c>
      <c r="I20" t="n">
        <v>-54100</v>
      </c>
    </row>
    <row r="21">
      <c r="A21" t="inlineStr">
        <is>
          <t>Vacant at deed</t>
        </is>
      </c>
      <c r="B21" t="inlineStr">
        <is>
          <t>Heavy: stripped or failed inspections</t>
        </is>
      </c>
      <c r="C21" t="n">
        <v>425000</v>
      </c>
      <c r="D21" t="n">
        <v>20</v>
      </c>
      <c r="E21" t="n">
        <v>275000</v>
      </c>
      <c r="F21" t="n">
        <v>429100</v>
      </c>
      <c r="G21" t="n">
        <v>-47400</v>
      </c>
      <c r="H21" t="n">
        <v>-0.066</v>
      </c>
      <c r="I21" t="n">
        <v>-79500</v>
      </c>
    </row>
    <row r="22">
      <c r="A22" t="inlineStr">
        <is>
          <t>Occupied (squatter/tenant): cash for keys / ejectment 8.5 mo</t>
        </is>
      </c>
      <c r="B22" t="inlineStr">
        <is>
          <t>Make-ready (paint, punch list, clean)</t>
        </is>
      </c>
      <c r="C22" t="n">
        <v>425000</v>
      </c>
      <c r="D22" t="n">
        <v>24.5</v>
      </c>
      <c r="E22" t="n">
        <v>175000</v>
      </c>
      <c r="F22" t="n">
        <v>227500</v>
      </c>
      <c r="G22" t="n">
        <v>153100</v>
      </c>
      <c r="H22" t="n">
        <v>0.33</v>
      </c>
      <c r="I22" t="n">
        <v>103000</v>
      </c>
    </row>
    <row r="23">
      <c r="A23" t="inlineStr">
        <is>
          <t>Occupied (squatter/tenant): cash for keys / ejectment 8.5 mo</t>
        </is>
      </c>
      <c r="B23" t="inlineStr">
        <is>
          <t>Make-ready (paint, punch list, clean)</t>
        </is>
      </c>
      <c r="C23" t="n">
        <v>425000</v>
      </c>
      <c r="D23" t="n">
        <v>24.5</v>
      </c>
      <c r="E23" t="n">
        <v>200000</v>
      </c>
      <c r="F23" t="n">
        <v>252800</v>
      </c>
      <c r="G23" t="n">
        <v>127700</v>
      </c>
      <c r="H23" t="n">
        <v>0.247</v>
      </c>
      <c r="I23" t="n">
        <v>77700</v>
      </c>
    </row>
    <row r="24">
      <c r="A24" t="inlineStr">
        <is>
          <t>Occupied (squatter/tenant): cash for keys / ejectment 8.5 mo</t>
        </is>
      </c>
      <c r="B24" t="inlineStr">
        <is>
          <t>Make-ready (paint, punch list, clean)</t>
        </is>
      </c>
      <c r="C24" t="n">
        <v>425000</v>
      </c>
      <c r="D24" t="n">
        <v>24.5</v>
      </c>
      <c r="E24" t="n">
        <v>225000</v>
      </c>
      <c r="F24" t="n">
        <v>278200</v>
      </c>
      <c r="G24" t="n">
        <v>102400</v>
      </c>
      <c r="H24" t="n">
        <v>0.18</v>
      </c>
      <c r="I24" t="n">
        <v>52400</v>
      </c>
    </row>
    <row r="25">
      <c r="A25" t="inlineStr">
        <is>
          <t>Occupied (squatter/tenant): cash for keys / ejectment 8.5 mo</t>
        </is>
      </c>
      <c r="B25" t="inlineStr">
        <is>
          <t>Make-ready (paint, punch list, clean)</t>
        </is>
      </c>
      <c r="C25" t="n">
        <v>425000</v>
      </c>
      <c r="D25" t="n">
        <v>24.5</v>
      </c>
      <c r="E25" t="n">
        <v>250000</v>
      </c>
      <c r="F25" t="n">
        <v>303600</v>
      </c>
      <c r="G25" t="n">
        <v>77000</v>
      </c>
      <c r="H25" t="n">
        <v>0.124</v>
      </c>
      <c r="I25" t="n">
        <v>27100</v>
      </c>
    </row>
    <row r="26">
      <c r="A26" t="inlineStr">
        <is>
          <t>Occupied (squatter/tenant): cash for keys / ejectment 8.5 mo</t>
        </is>
      </c>
      <c r="B26" t="inlineStr">
        <is>
          <t>Make-ready (paint, punch list, clean)</t>
        </is>
      </c>
      <c r="C26" t="n">
        <v>425000</v>
      </c>
      <c r="D26" t="n">
        <v>24.5</v>
      </c>
      <c r="E26" t="n">
        <v>275000</v>
      </c>
      <c r="F26" t="n">
        <v>329000</v>
      </c>
      <c r="G26" t="n">
        <v>51600</v>
      </c>
      <c r="H26" t="n">
        <v>0.077</v>
      </c>
      <c r="I26" t="n">
        <v>1800</v>
      </c>
    </row>
    <row r="27">
      <c r="A27" t="inlineStr">
        <is>
          <t>Occupied (squatter/tenant): cash for keys / ejectment 8.5 mo</t>
        </is>
      </c>
      <c r="B27" t="inlineStr">
        <is>
          <t>Light + permit legalization (base)</t>
        </is>
      </c>
      <c r="C27" t="n">
        <v>425000</v>
      </c>
      <c r="D27" t="n">
        <v>25.5</v>
      </c>
      <c r="E27" t="n">
        <v>175000</v>
      </c>
      <c r="F27" t="n">
        <v>248000</v>
      </c>
      <c r="G27" t="n">
        <v>132100</v>
      </c>
      <c r="H27" t="n">
        <v>0.251</v>
      </c>
      <c r="I27" t="n">
        <v>82700</v>
      </c>
    </row>
    <row r="28">
      <c r="A28" t="inlineStr">
        <is>
          <t>Occupied (squatter/tenant): cash for keys / ejectment 8.5 mo</t>
        </is>
      </c>
      <c r="B28" t="inlineStr">
        <is>
          <t>Light + permit legalization (base)</t>
        </is>
      </c>
      <c r="C28" t="n">
        <v>425000</v>
      </c>
      <c r="D28" t="n">
        <v>25.5</v>
      </c>
      <c r="E28" t="n">
        <v>200000</v>
      </c>
      <c r="F28" t="n">
        <v>273400</v>
      </c>
      <c r="G28" t="n">
        <v>106700</v>
      </c>
      <c r="H28" t="n">
        <v>0.184</v>
      </c>
      <c r="I28" t="n">
        <v>57400</v>
      </c>
    </row>
    <row r="29">
      <c r="A29" t="inlineStr">
        <is>
          <t>Occupied (squatter/tenant): cash for keys / ejectment 8.5 mo</t>
        </is>
      </c>
      <c r="B29" t="inlineStr">
        <is>
          <t>Light + permit legalization (base)</t>
        </is>
      </c>
      <c r="C29" t="n">
        <v>425000</v>
      </c>
      <c r="D29" t="n">
        <v>25.5</v>
      </c>
      <c r="E29" t="n">
        <v>225000</v>
      </c>
      <c r="F29" t="n">
        <v>298700</v>
      </c>
      <c r="G29" t="n">
        <v>81300</v>
      </c>
      <c r="H29" t="n">
        <v>0.128</v>
      </c>
      <c r="I29" t="n">
        <v>32100</v>
      </c>
    </row>
    <row r="30">
      <c r="A30" t="inlineStr">
        <is>
          <t>Occupied (squatter/tenant): cash for keys / ejectment 8.5 mo</t>
        </is>
      </c>
      <c r="B30" t="inlineStr">
        <is>
          <t>Light + permit legalization (base)</t>
        </is>
      </c>
      <c r="C30" t="n">
        <v>425000</v>
      </c>
      <c r="D30" t="n">
        <v>25.5</v>
      </c>
      <c r="E30" t="n">
        <v>250000</v>
      </c>
      <c r="F30" t="n">
        <v>324100</v>
      </c>
      <c r="G30" t="n">
        <v>56000</v>
      </c>
      <c r="H30" t="n">
        <v>0.081</v>
      </c>
      <c r="I30" t="n">
        <v>6800</v>
      </c>
    </row>
    <row r="31">
      <c r="A31" t="inlineStr">
        <is>
          <t>Occupied (squatter/tenant): cash for keys / ejectment 8.5 mo</t>
        </is>
      </c>
      <c r="B31" t="inlineStr">
        <is>
          <t>Light + permit legalization (base)</t>
        </is>
      </c>
      <c r="C31" t="n">
        <v>425000</v>
      </c>
      <c r="D31" t="n">
        <v>25.5</v>
      </c>
      <c r="E31" t="n">
        <v>275000</v>
      </c>
      <c r="F31" t="n">
        <v>349500</v>
      </c>
      <c r="G31" t="n">
        <v>30600</v>
      </c>
      <c r="H31" t="n">
        <v>0.041</v>
      </c>
      <c r="I31" t="n">
        <v>-18500</v>
      </c>
    </row>
    <row r="32">
      <c r="A32" t="inlineStr">
        <is>
          <t>Occupied (squatter/tenant): cash for keys / ejectment 8.5 mo</t>
        </is>
      </c>
      <c r="B32" t="inlineStr">
        <is>
          <t>Medium: vacancy/freeze damage + legalization</t>
        </is>
      </c>
      <c r="C32" t="n">
        <v>425000</v>
      </c>
      <c r="D32" t="n">
        <v>26.5</v>
      </c>
      <c r="E32" t="n">
        <v>175000</v>
      </c>
      <c r="F32" t="n">
        <v>283500</v>
      </c>
      <c r="G32" t="n">
        <v>96100</v>
      </c>
      <c r="H32" t="n">
        <v>0.153</v>
      </c>
      <c r="I32" t="n">
        <v>49400</v>
      </c>
    </row>
    <row r="33">
      <c r="A33" t="inlineStr">
        <is>
          <t>Occupied (squatter/tenant): cash for keys / ejectment 8.5 mo</t>
        </is>
      </c>
      <c r="B33" t="inlineStr">
        <is>
          <t>Medium: vacancy/freeze damage + legalization</t>
        </is>
      </c>
      <c r="C33" t="n">
        <v>425000</v>
      </c>
      <c r="D33" t="n">
        <v>26.5</v>
      </c>
      <c r="E33" t="n">
        <v>200000</v>
      </c>
      <c r="F33" t="n">
        <v>308900</v>
      </c>
      <c r="G33" t="n">
        <v>70700</v>
      </c>
      <c r="H33" t="n">
        <v>0.104</v>
      </c>
      <c r="I33" t="n">
        <v>24100</v>
      </c>
    </row>
    <row r="34">
      <c r="A34" t="inlineStr">
        <is>
          <t>Occupied (squatter/tenant): cash for keys / ejectment 8.5 mo</t>
        </is>
      </c>
      <c r="B34" t="inlineStr">
        <is>
          <t>Medium: vacancy/freeze damage + legalization</t>
        </is>
      </c>
      <c r="C34" t="n">
        <v>425000</v>
      </c>
      <c r="D34" t="n">
        <v>26.5</v>
      </c>
      <c r="E34" t="n">
        <v>225000</v>
      </c>
      <c r="F34" t="n">
        <v>334200</v>
      </c>
      <c r="G34" t="n">
        <v>45300</v>
      </c>
      <c r="H34" t="n">
        <v>0.061</v>
      </c>
      <c r="I34" t="n">
        <v>-1200</v>
      </c>
    </row>
    <row r="35">
      <c r="A35" t="inlineStr">
        <is>
          <t>Occupied (squatter/tenant): cash for keys / ejectment 8.5 mo</t>
        </is>
      </c>
      <c r="B35" t="inlineStr">
        <is>
          <t>Medium: vacancy/freeze damage + legalization</t>
        </is>
      </c>
      <c r="C35" t="n">
        <v>425000</v>
      </c>
      <c r="D35" t="n">
        <v>26.5</v>
      </c>
      <c r="E35" t="n">
        <v>250000</v>
      </c>
      <c r="F35" t="n">
        <v>359600</v>
      </c>
      <c r="G35" t="n">
        <v>19900</v>
      </c>
      <c r="H35" t="n">
        <v>0.025</v>
      </c>
      <c r="I35" t="n">
        <v>-26500</v>
      </c>
    </row>
    <row r="36">
      <c r="A36" t="inlineStr">
        <is>
          <t>Occupied (squatter/tenant): cash for keys / ejectment 8.5 mo</t>
        </is>
      </c>
      <c r="B36" t="inlineStr">
        <is>
          <t>Medium: vacancy/freeze damage + legalization</t>
        </is>
      </c>
      <c r="C36" t="n">
        <v>425000</v>
      </c>
      <c r="D36" t="n">
        <v>26.5</v>
      </c>
      <c r="E36" t="n">
        <v>275000</v>
      </c>
      <c r="F36" t="n">
        <v>385000</v>
      </c>
      <c r="G36" t="n">
        <v>-5400</v>
      </c>
      <c r="H36" t="n">
        <v>-0.006</v>
      </c>
      <c r="I36" t="n">
        <v>-51800</v>
      </c>
    </row>
    <row r="37">
      <c r="A37" t="inlineStr">
        <is>
          <t>Occupied (squatter/tenant): cash for keys / ejectment 8.5 mo</t>
        </is>
      </c>
      <c r="B37" t="inlineStr">
        <is>
          <t>Heavy: stripped or failed inspections</t>
        </is>
      </c>
      <c r="C37" t="n">
        <v>425000</v>
      </c>
      <c r="D37" t="n">
        <v>27.5</v>
      </c>
      <c r="E37" t="n">
        <v>175000</v>
      </c>
      <c r="F37" t="n">
        <v>339000</v>
      </c>
      <c r="G37" t="n">
        <v>40000</v>
      </c>
      <c r="H37" t="n">
        <v>0.052</v>
      </c>
      <c r="I37" t="n">
        <v>-900</v>
      </c>
    </row>
    <row r="38">
      <c r="A38" t="inlineStr">
        <is>
          <t>Occupied (squatter/tenant): cash for keys / ejectment 8.5 mo</t>
        </is>
      </c>
      <c r="B38" t="inlineStr">
        <is>
          <t>Heavy: stripped or failed inspections</t>
        </is>
      </c>
      <c r="C38" t="n">
        <v>425000</v>
      </c>
      <c r="D38" t="n">
        <v>27.5</v>
      </c>
      <c r="E38" t="n">
        <v>200000</v>
      </c>
      <c r="F38" t="n">
        <v>364400</v>
      </c>
      <c r="G38" t="n">
        <v>14700</v>
      </c>
      <c r="H38" t="n">
        <v>0.018</v>
      </c>
      <c r="I38" t="n">
        <v>-26200</v>
      </c>
    </row>
    <row r="39">
      <c r="A39" t="inlineStr">
        <is>
          <t>Occupied (squatter/tenant): cash for keys / ejectment 8.5 mo</t>
        </is>
      </c>
      <c r="B39" t="inlineStr">
        <is>
          <t>Heavy: stripped or failed inspections</t>
        </is>
      </c>
      <c r="C39" t="n">
        <v>425000</v>
      </c>
      <c r="D39" t="n">
        <v>27.5</v>
      </c>
      <c r="E39" t="n">
        <v>225000</v>
      </c>
      <c r="F39" t="n">
        <v>389800</v>
      </c>
      <c r="G39" t="n">
        <v>-10700</v>
      </c>
      <c r="H39" t="n">
        <v>-0.012</v>
      </c>
      <c r="I39" t="n">
        <v>-51500</v>
      </c>
    </row>
    <row r="40">
      <c r="A40" t="inlineStr">
        <is>
          <t>Occupied (squatter/tenant): cash for keys / ejectment 8.5 mo</t>
        </is>
      </c>
      <c r="B40" t="inlineStr">
        <is>
          <t>Heavy: stripped or failed inspections</t>
        </is>
      </c>
      <c r="C40" t="n">
        <v>425000</v>
      </c>
      <c r="D40" t="n">
        <v>27.5</v>
      </c>
      <c r="E40" t="n">
        <v>250000</v>
      </c>
      <c r="F40" t="n">
        <v>415100</v>
      </c>
      <c r="G40" t="n">
        <v>-36100</v>
      </c>
      <c r="H40" t="n">
        <v>-0.038</v>
      </c>
      <c r="I40" t="n">
        <v>-76800</v>
      </c>
    </row>
    <row r="41">
      <c r="A41" t="inlineStr">
        <is>
          <t>Occupied (squatter/tenant): cash for keys / ejectment 8.5 mo</t>
        </is>
      </c>
      <c r="B41" t="inlineStr">
        <is>
          <t>Heavy: stripped or failed inspections</t>
        </is>
      </c>
      <c r="C41" t="n">
        <v>425000</v>
      </c>
      <c r="D41" t="n">
        <v>27.5</v>
      </c>
      <c r="E41" t="n">
        <v>275000</v>
      </c>
      <c r="F41" t="n">
        <v>440500</v>
      </c>
      <c r="G41" t="n">
        <v>-61500</v>
      </c>
      <c r="H41" t="n">
        <v>-0.061</v>
      </c>
      <c r="I41" t="n">
        <v>-102100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</t>
        </is>
      </c>
      <c r="B1" t="inlineStr">
        <is>
          <t>NOI ($3,300/mo rent)</t>
        </is>
      </c>
      <c r="C1" t="inlineStr">
        <is>
          <t>all-in cost</t>
        </is>
      </c>
      <c r="D1" t="inlineStr">
        <is>
          <t>yield on cost</t>
        </is>
      </c>
    </row>
    <row r="2">
      <c r="A2" t="n">
        <v>175000</v>
      </c>
      <c r="B2" t="n">
        <v>24022</v>
      </c>
      <c r="C2" t="n">
        <v>235908</v>
      </c>
      <c r="D2" t="n">
        <v>0.102</v>
      </c>
    </row>
    <row r="3">
      <c r="A3" t="n">
        <v>200000</v>
      </c>
      <c r="B3" t="n">
        <v>24022</v>
      </c>
      <c r="C3" t="n">
        <v>261283</v>
      </c>
      <c r="D3" t="n">
        <v>0.092</v>
      </c>
    </row>
    <row r="4">
      <c r="A4" t="n">
        <v>225000</v>
      </c>
      <c r="B4" t="n">
        <v>24022</v>
      </c>
      <c r="C4" t="n">
        <v>286658</v>
      </c>
      <c r="D4" t="n">
        <v>0.08400000000000001</v>
      </c>
    </row>
    <row r="5">
      <c r="A5" t="n">
        <v>250000</v>
      </c>
      <c r="B5" t="n">
        <v>24022</v>
      </c>
      <c r="C5" t="n">
        <v>312033</v>
      </c>
      <c r="D5" t="n">
        <v>0.077</v>
      </c>
    </row>
    <row r="6">
      <c r="A6" t="n">
        <v>275000</v>
      </c>
      <c r="B6" t="n">
        <v>24022</v>
      </c>
      <c r="C6" t="n">
        <v>337408</v>
      </c>
      <c r="D6" t="n">
        <v>0.07099999999999999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Calculator (edit column B)</t>
        </is>
      </c>
    </row>
    <row r="3">
      <c r="A3" t="inlineStr">
        <is>
          <t>Bid</t>
        </is>
      </c>
      <c r="B3" s="5" t="n">
        <v>225000</v>
      </c>
    </row>
    <row r="4">
      <c r="A4" t="inlineStr">
        <is>
          <t>ARV (resale)</t>
        </is>
      </c>
      <c r="B4" s="5" t="n">
        <v>425000</v>
      </c>
    </row>
    <row r="5">
      <c r="A5" t="inlineStr">
        <is>
          <t>Rehab / make-ready incl. contingency</t>
        </is>
      </c>
      <c r="B5" s="5" t="n">
        <v>40000</v>
      </c>
    </row>
    <row r="6">
      <c r="A6" t="inlineStr">
        <is>
          <t>Months to deed</t>
        </is>
      </c>
      <c r="B6" s="5" t="n">
        <v>12</v>
      </c>
    </row>
    <row r="7">
      <c r="A7" t="inlineStr">
        <is>
          <t>Months to possession after deed</t>
        </is>
      </c>
      <c r="B7" s="5" t="n">
        <v>1</v>
      </c>
    </row>
    <row r="8">
      <c r="A8" t="inlineStr">
        <is>
          <t>Possession cost (cash for keys / ejectment)</t>
        </is>
      </c>
      <c r="B8" s="5" t="n">
        <v>2500</v>
      </c>
    </row>
    <row r="9">
      <c r="A9" t="inlineStr">
        <is>
          <t>Rehab months</t>
        </is>
      </c>
      <c r="B9" s="5" t="n">
        <v>2</v>
      </c>
    </row>
    <row r="10">
      <c r="A10" t="inlineStr">
        <is>
          <t>Months to sell</t>
        </is>
      </c>
      <c r="B10" s="5" t="n">
        <v>3</v>
      </c>
    </row>
    <row r="11">
      <c r="A11" t="inlineStr">
        <is>
          <t>City claims reserve</t>
        </is>
      </c>
      <c r="B11" s="5" t="n">
        <v>2500</v>
      </c>
    </row>
    <row r="12">
      <c r="A12" t="inlineStr">
        <is>
          <t>Legal to compel deed</t>
        </is>
      </c>
      <c r="B12" s="5" t="n">
        <v>2500</v>
      </c>
    </row>
    <row r="13">
      <c r="A13" t="inlineStr">
        <is>
          <t>Title / recording</t>
        </is>
      </c>
      <c r="B13" s="5" t="n">
        <v>2000</v>
      </c>
    </row>
    <row r="14">
      <c r="A14" t="inlineStr">
        <is>
          <t>B4A fees</t>
        </is>
      </c>
      <c r="B14" s="5" t="n">
        <v>70</v>
      </c>
    </row>
    <row r="15">
      <c r="A15" t="inlineStr">
        <is>
          <t>RE tax per month</t>
        </is>
      </c>
      <c r="B15" s="5" t="n">
        <v>521</v>
      </c>
    </row>
    <row r="16">
      <c r="A16" t="inlineStr">
        <is>
          <t>Insurance + upkeep per month (from deed)</t>
        </is>
      </c>
      <c r="B16" s="5" t="n">
        <v>300</v>
      </c>
    </row>
    <row r="17">
      <c r="A17" t="inlineStr">
        <is>
          <t>Utilities per month (from possession)</t>
        </is>
      </c>
      <c r="B17" s="5" t="n">
        <v>200</v>
      </c>
    </row>
    <row r="18">
      <c r="A18" t="inlineStr">
        <is>
          <t>Selling costs % of ARV</t>
        </is>
      </c>
      <c r="B18" s="6" t="n">
        <v>0.09289</v>
      </c>
    </row>
    <row r="19">
      <c r="A19" t="inlineStr">
        <is>
          <t>Buyer's premium %</t>
        </is>
      </c>
      <c r="B19" s="6" t="n">
        <v>0.015</v>
      </c>
    </row>
    <row r="20">
      <c r="A20" t="inlineStr">
        <is>
          <t>Opportunity cost %/yr</t>
        </is>
      </c>
      <c r="B20" s="6" t="n">
        <v>0.08</v>
      </c>
    </row>
    <row r="22">
      <c r="A22" s="2" t="inlineStr">
        <is>
          <t>Sale month</t>
        </is>
      </c>
      <c r="B22" s="7">
        <f>B6+B7+B9+B10</f>
        <v/>
      </c>
    </row>
    <row r="23">
      <c r="A23" s="2" t="inlineStr">
        <is>
          <t>Cash at auction (bid + premium)</t>
        </is>
      </c>
      <c r="B23" s="7">
        <f>B3*(1+B19)</f>
        <v/>
      </c>
    </row>
    <row r="24">
      <c r="A24" s="2" t="inlineStr">
        <is>
          <t>Carry (tax, insurance, upkeep, utilities)</t>
        </is>
      </c>
      <c r="B24" s="7">
        <f>B15*B22+B16*(B22-B6)+B17*(B22-B6-B7)</f>
        <v/>
      </c>
    </row>
    <row r="25">
      <c r="A25" s="2" t="inlineStr">
        <is>
          <t>Fixed costs (legal, title, claims, fees, possession)</t>
        </is>
      </c>
      <c r="B25" s="7">
        <f>B12+B13+B11+B14+B8</f>
        <v/>
      </c>
    </row>
    <row r="26">
      <c r="A26" s="2" t="inlineStr">
        <is>
          <t>Net sale proceeds (after selling costs)</t>
        </is>
      </c>
      <c r="B26" s="7">
        <f>B4*(1-B18)</f>
        <v/>
      </c>
    </row>
    <row r="27">
      <c r="A27" s="2" t="inlineStr">
        <is>
          <t>Profit before cost of capital</t>
        </is>
      </c>
      <c r="B27" s="7">
        <f>B26-B23-B24-B25-B5</f>
        <v/>
      </c>
    </row>
    <row r="28">
      <c r="A28" s="2" t="inlineStr">
        <is>
          <t>Approx. 8% charge on cash tied up</t>
        </is>
      </c>
      <c r="B28" s="7">
        <f>(B23*B22+B5*(B9/2+B10)+(B24+B25)*B22/2)*B20/12</f>
        <v/>
      </c>
    </row>
    <row r="29">
      <c r="A29" s="2" t="inlineStr">
        <is>
          <t>Profit after cost of capital</t>
        </is>
      </c>
      <c r="B29" s="7">
        <f>B27-B28</f>
        <v/>
      </c>
    </row>
    <row r="30">
      <c r="A30" s="2" t="inlineStr">
        <is>
          <t>Annualized return on peak cash</t>
        </is>
      </c>
      <c r="B30" s="8">
        <f>B27/(B23+B24+B25+B5)*12/B22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2026-10-26T00:12:05Z</dcterms:created>
  <dcterms:modified xmlns:dcterms="http://purl.org/dc/terms/" xmlns:xsi="http://www.w3.org/2001/XMLSchema-instance" xsi:type="dcterms:W3CDTF">2026-10-26T00:12:05Z</dcterms:modified>
</cp:coreProperties>
</file>