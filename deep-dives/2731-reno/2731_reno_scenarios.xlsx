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DCF matrix 8%" sheetId="2" state="visible" r:id="rId4"/>
    <sheet name="Assumptions" sheetId="3" state="visible" r:id="rId5"/>
    <sheet name="Deals" sheetId="4" state="visible" r:id="rId6"/>
    <sheet name="Underwriting" sheetId="5" state="visible" r:id="rId7"/>
    <sheet name="Bid Ladder" sheetId="6" state="visible" r:id="rId8"/>
    <sheet name="Portfolio" sheetId="7" state="visible" r:id="rId9"/>
  </sheets>
  <definedNames>
    <definedName function="false" hidden="false" name="BidderDeposit" vbProcedure="false">Assumptions!$B$15</definedName>
    <definedName function="false" hidden="false" name="BlindAllowance" vbProcedure="false">Assumptions!$B$36</definedName>
    <definedName function="false" hidden="false" name="BrokerPct" vbProcedure="false">Assumptions!$B$38</definedName>
    <definedName function="false" hidden="false" name="BuildCostPSF" vbProcedure="false">Assumptions!$B$59</definedName>
    <definedName function="false" hidden="false" name="BuildMonths" vbProcedure="false">Assumptions!$B$61</definedName>
    <definedName function="false" hidden="false" name="BuyerMarginPct" vbProcedure="false">Assumptions!$B$55</definedName>
    <definedName function="false" hidden="false" name="BuyerPremium" vbProcedure="false">Assumptions!$B$12</definedName>
    <definedName function="false" hidden="false" name="CapexPct" vbProcedure="false">Assumptions!$B$46</definedName>
    <definedName function="false" hidden="false" name="CapitalCap" vbProcedure="false">Assumptions!$B$10</definedName>
    <definedName function="false" hidden="false" name="CompelDeedLegal" vbProcedure="false">Assumptions!$B$19</definedName>
    <definedName function="false" hidden="false" name="ConcessionsPct" vbProcedure="false">Assumptions!$B$41</definedName>
    <definedName function="false" hidden="false" name="Contingency" vbProcedure="false">Assumptions!$B$35</definedName>
    <definedName function="false" hidden="false" name="DeedMonths" vbProcedure="false">Assumptions!$B$21</definedName>
    <definedName function="false" hidden="false" name="DemoCost" vbProcedure="false">Assumptions!$B$58</definedName>
    <definedName function="false" hidden="false" name="DevMarginPct" vbProcedure="false">Assumptions!$B$62</definedName>
    <definedName function="false" hidden="false" name="DownPct" vbProcedure="false">Assumptions!$B$13</definedName>
    <definedName function="false" hidden="false" name="EjectMonths" vbProcedure="false">Assumptions!$B$22</definedName>
    <definedName function="false" hidden="false" name="FlipCeiling" vbProcedure="false">Assumptions!$B$7</definedName>
    <definedName function="false" hidden="false" name="FlipMinAnnROI" vbProcedure="false">Assumptions!$B$6</definedName>
    <definedName function="false" hidden="false" name="FlipTarget" vbProcedure="false">Assumptions!$B$5</definedName>
    <definedName function="false" hidden="false" name="HOAArrearsMonths" vbProcedure="false">Assumptions!$B$31</definedName>
    <definedName function="false" hidden="false" name="HoldMeasure" vbProcedure="false">Assumptions!$B$9</definedName>
    <definedName function="false" hidden="false" name="HoldTarget" vbProcedure="false">Assumptions!$B$8</definedName>
    <definedName function="false" hidden="false" name="InsPerUnit" vbProcedure="false">Assumptions!$B$47</definedName>
    <definedName function="false" hidden="false" name="LeaseUpMonths" vbProcedure="false">Assumptions!$B$25</definedName>
    <definedName function="false" hidden="false" name="MaintPct" vbProcedure="false">Assumptions!$B$45</definedName>
    <definedName function="false" hidden="false" name="MgmtPct" vbProcedure="false">Assumptions!$B$44</definedName>
    <definedName function="false" hidden="false" name="PossessionCost" vbProcedure="false">Assumptions!$B$33</definedName>
    <definedName function="false" hidden="false" name="PurchaseTitle" vbProcedure="false">Assumptions!$B$18</definedName>
    <definedName function="false" hidden="false" name="RefiCostPct" vbProcedure="false">Assumptions!$B$53</definedName>
    <definedName function="false" hidden="false" name="RefiDSCR" vbProcedure="false">Assumptions!$B$52</definedName>
    <definedName function="false" hidden="false" name="RefiLTV" vbProcedure="false">Assumptions!$B$49</definedName>
    <definedName function="false" hidden="false" name="RefiRate" vbProcedure="false">Assumptions!$B$50</definedName>
    <definedName function="false" hidden="false" name="RefiTerm" vbProcedure="false">Assumptions!$B$51</definedName>
    <definedName function="false" hidden="false" name="RTTPurchase" vbProcedure="false">Assumptions!$B$16</definedName>
    <definedName function="false" hidden="false" name="ScopeMonths" vbProcedure="false">Assumptions!$C$65:$C$68</definedName>
    <definedName function="false" hidden="false" name="ScopeNames" vbProcedure="false">Assumptions!$A$65:$A$68</definedName>
    <definedName function="false" hidden="false" name="ScopePSF" vbProcedure="false">Assumptions!$B$65:$B$68</definedName>
    <definedName function="false" hidden="false" name="SecuringMo" vbProcedure="false">Assumptions!$B$29</definedName>
    <definedName function="false" hidden="false" name="SellClosingPct" vbProcedure="false">Assumptions!$B$40</definedName>
    <definedName function="false" hidden="false" name="SellerRTT" vbProcedure="false">Assumptions!$B$39</definedName>
    <definedName function="false" hidden="false" name="SellMonths" vbProcedure="false">Assumptions!$B$24</definedName>
    <definedName function="false" hidden="false" name="SheriffCostsFromBid" vbProcedure="false">Assumptions!$B$17</definedName>
    <definedName function="false" hidden="false" name="SheriffFees" vbProcedure="false">Assumptions!$B$14</definedName>
    <definedName function="false" hidden="false" name="SoftCostPct" vbProcedure="false">Assumptions!$B$60</definedName>
    <definedName function="false" hidden="false" name="TaxRate" vbProcedure="false">Assumptions!$B$27</definedName>
    <definedName function="false" hidden="false" name="UnknownAsOccupied" vbProcedure="false">Assumptions!$B$23</definedName>
    <definedName function="false" hidden="false" name="UtilitiesMo" vbProcedure="false">Assumptions!$B$30</definedName>
    <definedName function="false" hidden="false" name="Vacancy" vbProcedure="false">Assumptions!$B$43</definedName>
    <definedName function="false" hidden="false" name="VacantInsMo" vbProcedure="false">Assumptions!$B$28</definedName>
    <definedName function="false" hidden="false" name="WaterPerUnit" vbProcedure="false">Assumptions!$B$48</definedName>
    <definedName function="false" hidden="false" name="WholesaleMinFee" vbProcedure="false">Assumptions!$B$56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No reserve: the minimum bid is the floor. $1 = awaiting minimum bid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1st / 2nd / Unknown (title check)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</rPr>
          <t xml:space="preserve">Drives taxes while waiting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M2" authorId="0">
      <text>
        <r>
          <rPr>
            <sz val="10"/>
            <rFont val="Arial"/>
            <family val="2"/>
          </rPr>
          <t xml:space="preserve">After-repair value, 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Rent comps, after rehab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Light / Medium / Heavy / Gut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Roof, facade, structural seen from street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Q2" authorId="0">
      <text>
        <r>
          <rPr>
            <sz val="10"/>
            <rFont val="Arial"/>
            <family val="2"/>
          </rPr>
          <t xml:space="preserve">Vacant / Occupied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R2" authorId="0">
      <text>
        <r>
          <rPr>
            <sz val="10"/>
            <rFont val="Arial"/>
            <family val="2"/>
          </rPr>
          <t xml:space="preserve">Senior mortgage if plaintiff is 2nd, uncovered city claims, IRS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Paid from the bid first; any part the bid doesn't cover survives. Title check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rFont val="Arial"/>
            <family val="2"/>
          </rPr>
          <t xml:space="preserve">Leave blank if not a build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<sst xmlns="http://schemas.openxmlformats.org/spreadsheetml/2006/main" count="342" uniqueCount="253">
  <si>
    <t xml:space="preserve">Sheriff Sale Underwriting Model, Philadelphia Nov 3 2026</t>
  </si>
  <si>
    <t xml:space="preserve">How to use</t>
  </si>
  <si>
    <t xml:space="preserve">1. Put each property on the Deals sheet (yellow cells). ARV and rent come from the comps work; liens and lien position from the title check.</t>
  </si>
  <si>
    <t xml:space="preserve">2. Change any assumption on the Assumptions sheet. Every number in the model reads from there.</t>
  </si>
  <si>
    <t xml:space="preserve">3. Underwriting shows the best exit, the highest bid that still hits the target, and the cash it takes.</t>
  </si>
  <si>
    <t xml:space="preserve">4. Bid Ladder shows profit and return at a range of bids. Portfolio adds up the cash against the $1M cap.</t>
  </si>
  <si>
    <t xml:space="preserve">How the max bid is found</t>
  </si>
  <si>
    <t xml:space="preserve">Flip: highest bid where ARV minus selling costs, rehab, carry, legal, possession, liens, fees and the 1.5% premium still leaves the $50k target.</t>
  </si>
  <si>
    <t xml:space="preserve">Value-add hold: highest bid where stabilized NOI divided by all-in cost is at least 12% (yield on cost, unlevered). Switch Assumptions &gt; 'Value-add: measure' to Cash-on-cash to test levered cash flow after a refi on the cash left in instead.</t>
  </si>
  <si>
    <t xml:space="preserve">Wholesale: bid you could pay and still assign the bid to a flipper who needs 15% of ARV, keeping a $15k fee. Shown as an alternative only.</t>
  </si>
  <si>
    <t xml:space="preserve">Teardown: new units sold at the per-unit value you enter, less demo, build, soft costs and carry, with a 15% developer margin.</t>
  </si>
  <si>
    <t xml:space="preserve">Sale rules built in</t>
  </si>
  <si>
    <t xml:space="preserve">All cash: 10% of bid + 1.5% premium due Nov 4, 90% due Nov 18. Transfer tax comes out of the bid.</t>
  </si>
  <si>
    <t xml:space="preserve">Sale to recorded deed 12 months (range 9-15). No work, renting or eviction until then. Occupied adds 5 months and a possession cost.</t>
  </si>
  <si>
    <t xml:space="preserve">City taxes, water/sewer and municipal claims survive if the bid does not cover them; 6 months of condo/HOA dues survive; a senior mortgage survives a 2nd-lien sale. Enter these as surviving liens.</t>
  </si>
  <si>
    <t xml:space="preserve">Rehab is a blind budget: $/sf by scope plus a 20% contingency plus a $10k fixed allowance, plus anything visible from the street.</t>
  </si>
  <si>
    <t xml:space="preserve">Not modeled</t>
  </si>
  <si>
    <t xml:space="preserve">Risk the sale is pulled, set aside or voided by bankruptcy (cash is tied up but returned). IRS 120-day redemption. Opportunity cost of cash. Price changes during the long hold.</t>
  </si>
  <si>
    <t xml:space="preserve">2731 Reno St: max bid by rehab scope x resale price (NPV at 8%/yr leaves $50k; breakeven in second block)</t>
  </si>
  <si>
    <t xml:space="preserve">Rehab incl. 20% contingency + $10k: Light $35.2k (2 mo), Medium $64.2k (3 mo, incl $8k roof/front), Heavy $81.4k (4 mo), Gut $112k (5 mo). Selling costs 9.3%. Carry: tax $333/mo from sale, insurance+upkeep $325/mo from deed, utilities from possession. Source: research/max_bid_dcf_8pct.py</t>
  </si>
  <si>
    <t xml:space="preserve">Fast: deed 9 mo, keys 2 mo, $7.5k | Max bid ($50k NPV@8%)</t>
  </si>
  <si>
    <t xml:space="preserve">Scope \ Resale</t>
  </si>
  <si>
    <t xml:space="preserve">Light</t>
  </si>
  <si>
    <t xml:space="preserve">Medium</t>
  </si>
  <si>
    <t xml:space="preserve">Heavy</t>
  </si>
  <si>
    <t xml:space="preserve">Gut</t>
  </si>
  <si>
    <t xml:space="preserve">Fast: deed 9 mo, keys 2 mo, $7.5k | Breakeven bid (NPV@8% = 0)</t>
  </si>
  <si>
    <t xml:space="preserve">Base: deed 12 mo, cash for keys/ejectment 8 mo, $10k | Max bid ($50k NPV@8%)</t>
  </si>
  <si>
    <t xml:space="preserve">Base: deed 12 mo, cash for keys/ejectment 8 mo, $10k | Breakeven bid (NPV@8% = 0)</t>
  </si>
  <si>
    <t xml:space="preserve">Slow: deed 15 mo, contested ejectment 11 mo, $15k | Max bid ($50k NPV@8%)</t>
  </si>
  <si>
    <t xml:space="preserve">Slow: deed 15 mo, contested ejectment 11 mo, $15k | Breakeven bid (NPV@8% = 0)</t>
  </si>
  <si>
    <t xml:space="preserve">Assumptions (yellow cells are inputs; every sheet reads from here)</t>
  </si>
  <si>
    <t xml:space="preserve">Assumption</t>
  </si>
  <si>
    <t xml:space="preserve">Value</t>
  </si>
  <si>
    <t xml:space="preserve">Note</t>
  </si>
  <si>
    <t xml:space="preserve">Targets (ryan's buy box)</t>
  </si>
  <si>
    <t xml:space="preserve">Flip: minimum profit</t>
  </si>
  <si>
    <t xml:space="preserve">ryan's target: $50k profit per flip</t>
  </si>
  <si>
    <t xml:space="preserve">Flip: minimum annualized return on cash (0 = off)</t>
  </si>
  <si>
    <t xml:space="preserve">Second test so big-ticket flips can't pass on $50k alone over a 2-year hold. Simple annualized: profit / peak cash / years held. ryan confirmed 15% on Oct 20</t>
  </si>
  <si>
    <t xml:space="preserve">Flip: all-in cost ceiling (bid + rehab + costs)</t>
  </si>
  <si>
    <t xml:space="preserve">Ideal box. A deal over this is flagged, not excluded</t>
  </si>
  <si>
    <t xml:space="preserve">Value-add: target annual return</t>
  </si>
  <si>
    <t xml:space="preserve">ryan's target: 12%</t>
  </si>
  <si>
    <t xml:space="preserve">Value-add: measure the 12% is tested on</t>
  </si>
  <si>
    <t xml:space="preserve">Yield on cost</t>
  </si>
  <si>
    <t xml:space="preserve">Yield on cost = stabilized NOI / all-in cost (unlevered). Cash-on-cash = cash flow after refi debt service / cash left in after refi</t>
  </si>
  <si>
    <t xml:space="preserve">Total cash available</t>
  </si>
  <si>
    <t xml:space="preserve">ryan's maximum cash</t>
  </si>
  <si>
    <t xml:space="preserve">Sale terms (Philadelphia Sheriff, Nov 3 2026)</t>
  </si>
  <si>
    <t xml:space="preserve">Buyer's premium</t>
  </si>
  <si>
    <t xml:space="preserve">1.5% of price, paid with the 10% down</t>
  </si>
  <si>
    <t xml:space="preserve">Down payment due Nov 4</t>
  </si>
  <si>
    <t xml:space="preserve">10% + premium by 5 PM Nov 4; $10k deposit counts toward it</t>
  </si>
  <si>
    <t xml:space="preserve">Sheriff / Bid4Assets fees per lot</t>
  </si>
  <si>
    <t xml:space="preserve">$35 processing + $35 balance fee</t>
  </si>
  <si>
    <t xml:space="preserve">Bidder deposit (credited to the Nov 4 down payment)</t>
  </si>
  <si>
    <t xml:space="preserve">$5,000 + $35 fee, received by Bid4Assets 4 PM ET Oct 27 (wire, certified check, money order)</t>
  </si>
  <si>
    <t xml:space="preserve">Realty transfer tax taken out of the bid</t>
  </si>
  <si>
    <t xml:space="preserve">Sheriff pays it from the price, before city claims</t>
  </si>
  <si>
    <t xml:space="preserve">Sheriff costs paid from the bid before city claims</t>
  </si>
  <si>
    <t xml:space="preserve">Poundage, advertising, service. Estimate; check the distribution schedule</t>
  </si>
  <si>
    <t xml:space="preserve">Title insurance and recording after deed</t>
  </si>
  <si>
    <t xml:space="preserve">Transfer tax on purchase is paid from the bid, so $0 here</t>
  </si>
  <si>
    <t xml:space="preserve">Legal: petition to compel deed / docket review</t>
  </si>
  <si>
    <t xml:space="preserve">Deeds running 12+ months; budget counsel on every lot</t>
  </si>
  <si>
    <t xml:space="preserve">Timeline (months)</t>
  </si>
  <si>
    <t xml:space="preserve">Sale to recorded deed</t>
  </si>
  <si>
    <t xml:space="preserve">Rules research: 9-15 months, base 12</t>
  </si>
  <si>
    <t xml:space="preserve">Deed to vacant possession if occupied</t>
  </si>
  <si>
    <t xml:space="preserve">Ejectment 3-6 months if uncontested</t>
  </si>
  <si>
    <t xml:space="preserve">Treat unknown occupancy as occupied? (Y/N)</t>
  </si>
  <si>
    <t xml:space="preserve">Y</t>
  </si>
  <si>
    <t xml:space="preserve">Conservative default until the drive-by</t>
  </si>
  <si>
    <t xml:space="preserve">Flip: list to closed sale</t>
  </si>
  <si>
    <t xml:space="preserve">Hold: rehab done to rent starts</t>
  </si>
  <si>
    <t xml:space="preserve">Carry while waiting / rehabbing (per month)</t>
  </si>
  <si>
    <t xml:space="preserve">Real estate tax rate (of OPA market value)</t>
  </si>
  <si>
    <t xml:space="preserve">Philadelphia 2026</t>
  </si>
  <si>
    <t xml:space="preserve">Vacant-property insurance</t>
  </si>
  <si>
    <t xml:space="preserve">Securing, lawn, trash, inspections</t>
  </si>
  <si>
    <t xml:space="preserve">Includes L&amp;I vacant-property upkeep</t>
  </si>
  <si>
    <t xml:space="preserve">Utilities</t>
  </si>
  <si>
    <t xml:space="preserve">Condo/HOA arrears that survive (months)</t>
  </si>
  <si>
    <t xml:space="preserve">68 Pa.C.S. 3315 / 5315</t>
  </si>
  <si>
    <t xml:space="preserve">Possession</t>
  </si>
  <si>
    <t xml:space="preserve">Possession cost if occupied</t>
  </si>
  <si>
    <t xml:space="preserve">Ejectment counsel + $325 writ + lockout/trash-out, or cash for keys</t>
  </si>
  <si>
    <t xml:space="preserve">Rehab (interior unseen)</t>
  </si>
  <si>
    <t xml:space="preserve">Blind-interior contingency on $/sf budget</t>
  </si>
  <si>
    <t xml:space="preserve">No interior access before purchase</t>
  </si>
  <si>
    <t xml:space="preserve">Fixed allowance per property</t>
  </si>
  <si>
    <t xml:space="preserve">Cleanout, permits, lead/asbestos test, utility reconnects, systems surprises</t>
  </si>
  <si>
    <t xml:space="preserve">Flip exit</t>
  </si>
  <si>
    <t xml:space="preserve">Listing + buyer agent commission</t>
  </si>
  <si>
    <t xml:space="preserve">Seller share of realty transfer tax</t>
  </si>
  <si>
    <t xml:space="preserve">Half of 4.578%</t>
  </si>
  <si>
    <t xml:space="preserve">Other seller closing costs</t>
  </si>
  <si>
    <t xml:space="preserve">Buyer concessions / price cuts</t>
  </si>
  <si>
    <t xml:space="preserve">Value-add hold / BRRRR exit</t>
  </si>
  <si>
    <t xml:space="preserve">Vacancy and credit loss</t>
  </si>
  <si>
    <t xml:space="preserve">Of gross rent</t>
  </si>
  <si>
    <t xml:space="preserve">Property management</t>
  </si>
  <si>
    <t xml:space="preserve">Of collected rent</t>
  </si>
  <si>
    <t xml:space="preserve">Repairs and maintenance</t>
  </si>
  <si>
    <t xml:space="preserve">Capital reserve</t>
  </si>
  <si>
    <t xml:space="preserve">Landlord insurance per unit per year</t>
  </si>
  <si>
    <t xml:space="preserve">Water/sewer, license, other per unit per year</t>
  </si>
  <si>
    <t xml:space="preserve">Landlord usually carries water in Philly; rental license ~$75/unit</t>
  </si>
  <si>
    <t xml:space="preserve">Refi loan-to-value (of ARV)</t>
  </si>
  <si>
    <t xml:space="preserve">DSCR lender, after the deed records</t>
  </si>
  <si>
    <t xml:space="preserve">Refi interest rate</t>
  </si>
  <si>
    <t xml:space="preserve">Refi amortization (years)</t>
  </si>
  <si>
    <t xml:space="preserve">Minimum debt service coverage</t>
  </si>
  <si>
    <t xml:space="preserve">Loan is sized down if NOI is thin</t>
  </si>
  <si>
    <t xml:space="preserve">Refi closing costs (of loan)</t>
  </si>
  <si>
    <t xml:space="preserve">Wholesale (assign the bid)</t>
  </si>
  <si>
    <t xml:space="preserve">End buyer's required profit (of ARV)</t>
  </si>
  <si>
    <t xml:space="preserve">Assign by notarized assignment of bid within 15 days; you stay on the hook if they default</t>
  </si>
  <si>
    <t xml:space="preserve">Your minimum assignment fee</t>
  </si>
  <si>
    <t xml:space="preserve">Teardown / added units</t>
  </si>
  <si>
    <t xml:space="preserve">Demolition and site prep</t>
  </si>
  <si>
    <t xml:space="preserve">New construction hard cost per sf</t>
  </si>
  <si>
    <t xml:space="preserve">Soft costs (design, permits, zoning, financing)</t>
  </si>
  <si>
    <t xml:space="preserve">Of hard cost</t>
  </si>
  <si>
    <t xml:space="preserve">Permit + build months</t>
  </si>
  <si>
    <t xml:space="preserve">Developer profit target (of sale revenue)</t>
  </si>
  <si>
    <t xml:space="preserve">Or the flip target, whichever is higher</t>
  </si>
  <si>
    <t xml:space="preserve">Rehab scope table</t>
  </si>
  <si>
    <t xml:space="preserve">$/sf</t>
  </si>
  <si>
    <t xml:space="preserve">Months</t>
  </si>
  <si>
    <t xml:space="preserve">What it covers</t>
  </si>
  <si>
    <t xml:space="preserve">Paint, floors, fixtures, minor kitchen/bath refresh</t>
  </si>
  <si>
    <t xml:space="preserve">New kitchen and bath, some systems, windows</t>
  </si>
  <si>
    <t xml:space="preserve">All systems, kitchen, baths, drywall, roof repair</t>
  </si>
  <si>
    <t xml:space="preserve">Down to studs: structure, roof, all systems, full finishes</t>
  </si>
  <si>
    <t xml:space="preserve">Property inputs. One row per property; yellow cells are inputs. Rows flow automatically to Underwriting, Bid Ladder and Portfolio.</t>
  </si>
  <si>
    <t xml:space="preserve">Auction ID</t>
  </si>
  <si>
    <t xml:space="preserve">Address</t>
  </si>
  <si>
    <t xml:space="preserve">ZIP</t>
  </si>
  <si>
    <t xml:space="preserve">Opening bid</t>
  </si>
  <si>
    <t xml:space="preserve">Judgment / debt</t>
  </si>
  <si>
    <t xml:space="preserve">Plaintiff lien position</t>
  </si>
  <si>
    <t xml:space="preserve">Building sf</t>
  </si>
  <si>
    <t xml:space="preserve">Lot sf</t>
  </si>
  <si>
    <t xml:space="preserve">Year built</t>
  </si>
  <si>
    <t xml:space="preserve">Units (after rehab)</t>
  </si>
  <si>
    <t xml:space="preserve">OPA market value</t>
  </si>
  <si>
    <t xml:space="preserve">As-is value</t>
  </si>
  <si>
    <t xml:space="preserve">ARV</t>
  </si>
  <si>
    <t xml:space="preserve">Market rent / mo (all units)</t>
  </si>
  <si>
    <t xml:space="preserve">Rehab scope</t>
  </si>
  <si>
    <t xml:space="preserve">Exterior / known adders</t>
  </si>
  <si>
    <t xml:space="preserve">Occupancy</t>
  </si>
  <si>
    <t xml:space="preserve">Surviving liens not covered by bid</t>
  </si>
  <si>
    <t xml:space="preserve">City claims owed (RE tax, water/sewer, other)</t>
  </si>
  <si>
    <t xml:space="preserve">Condo/HOA dues / mo</t>
  </si>
  <si>
    <t xml:space="preserve">Teardown: units possible</t>
  </si>
  <si>
    <t xml:space="preserve">Teardown: new-build sf</t>
  </si>
  <si>
    <t xml:space="preserve">Teardown: sale value / unit</t>
  </si>
  <si>
    <t xml:space="preserve">Data status / notes</t>
  </si>
  <si>
    <t xml:space="preserve">1318974-0</t>
  </si>
  <si>
    <t xml:space="preserve">0 Bench screen (ARV 354k, Heavy, occupied)</t>
  </si>
  <si>
    <t xml:space="preserve">1st</t>
  </si>
  <si>
    <t xml:space="preserve">Occupied</t>
  </si>
  <si>
    <t xml:space="preserve">2731 Reno St deep dive; bench screen inputs re-run with 8-month possession</t>
  </si>
  <si>
    <t xml:space="preserve">1318974-1</t>
  </si>
  <si>
    <t xml:space="preserve">1 Base: ARV 395k, Medium (+$8k roof/front), occupied</t>
  </si>
  <si>
    <t xml:space="preserve">2731 Reno St deep dive; Fairmount 700-800sf row comps median $390k</t>
  </si>
  <si>
    <t xml:space="preserve">1318974-2</t>
  </si>
  <si>
    <t xml:space="preserve">2 Base but vacant at deed</t>
  </si>
  <si>
    <t xml:space="preserve">Vacant</t>
  </si>
  <si>
    <t xml:space="preserve">2731 Reno St deep dive</t>
  </si>
  <si>
    <t xml:space="preserve">1318974-3</t>
  </si>
  <si>
    <t xml:space="preserve">3 Light cosmetic: ARV 375k, Light, occupied</t>
  </si>
  <si>
    <t xml:space="preserve">1318974-4</t>
  </si>
  <si>
    <t xml:space="preserve">4 Downside: ARV 365k, Heavy, occupied</t>
  </si>
  <si>
    <t xml:space="preserve">1318974-5</t>
  </si>
  <si>
    <t xml:space="preserve">5 Upside: ARV 425k, Medium + half bath, occupied</t>
  </si>
  <si>
    <t xml:space="preserve">2731 Reno St deep dive; like 813 N Newkirk $432.5k</t>
  </si>
  <si>
    <t xml:space="preserve">1318974-6</t>
  </si>
  <si>
    <t xml:space="preserve">6 Slow ejectment proxy: ARV 395k, Medium, occupied, Heavy timeline</t>
  </si>
  <si>
    <t xml:space="preserve">Heavy scope used as a proxy for 2 extra months and +$25k (contested possession / surprises)</t>
  </si>
  <si>
    <t xml:space="preserve">Property</t>
  </si>
  <si>
    <t xml:space="preserve">Result</t>
  </si>
  <si>
    <t xml:space="preserve">Timeline</t>
  </si>
  <si>
    <t xml:space="preserve">Costs</t>
  </si>
  <si>
    <t xml:space="preserve">Flip</t>
  </si>
  <si>
    <t xml:space="preserve">Hold</t>
  </si>
  <si>
    <t xml:space="preserve">Wholesale</t>
  </si>
  <si>
    <t xml:space="preserve">Teardown</t>
  </si>
  <si>
    <t xml:space="preserve">Best exit</t>
  </si>
  <si>
    <t xml:space="preserve">Max bid that hits target</t>
  </si>
  <si>
    <t xml:space="preserve">Check vs opening bid</t>
  </si>
  <si>
    <t xml:space="preserve">All-in cash at max bid</t>
  </si>
  <si>
    <t xml:space="preserve">Profit / return at max bid</t>
  </si>
  <si>
    <t xml:space="preserve">Buy box</t>
  </si>
  <si>
    <t xml:space="preserve">Other exits</t>
  </si>
  <si>
    <t xml:space="preserve">Flags</t>
  </si>
  <si>
    <t xml:space="preserve">Occupied? (1 = yes)</t>
  </si>
  <si>
    <t xml:space="preserve">Rehab months</t>
  </si>
  <si>
    <t xml:space="preserve">Flip: sale to sold</t>
  </si>
  <si>
    <t xml:space="preserve">Hold: sale to rent start</t>
  </si>
  <si>
    <t xml:space="preserve">Rehab budget (blind)</t>
  </si>
  <si>
    <t xml:space="preserve">Carry / month</t>
  </si>
  <si>
    <t xml:space="preserve">Fixed deal costs (fees, legal, possession, liens)</t>
  </si>
  <si>
    <t xml:space="preserve">Flip: selling costs</t>
  </si>
  <si>
    <t xml:space="preserve">Flip: costs other than bid (pre-sale)</t>
  </si>
  <si>
    <t xml:space="preserve">Flip: profit before bid</t>
  </si>
  <si>
    <t xml:space="preserve">Flip: most the bid may cost (incl. premium, unpaid claims)</t>
  </si>
  <si>
    <t xml:space="preserve">Flip: max bid</t>
  </si>
  <si>
    <t xml:space="preserve">Flip: peak cash at max bid</t>
  </si>
  <si>
    <t xml:space="preserve">Flip: profit at max bid</t>
  </si>
  <si>
    <t xml:space="preserve">Flip: annualized return at max bid</t>
  </si>
  <si>
    <t xml:space="preserve">Hold: stabilized NOI / yr</t>
  </si>
  <si>
    <t xml:space="preserve">Hold: costs other than bid</t>
  </si>
  <si>
    <t xml:space="preserve">Hold: refi loan</t>
  </si>
  <si>
    <t xml:space="preserve">Hold: cash flow after debt / yr</t>
  </si>
  <si>
    <t xml:space="preserve">Hold: max bid at target yield on cost</t>
  </si>
  <si>
    <t xml:space="preserve">Hold: max bid at target cash-on-cash</t>
  </si>
  <si>
    <t xml:space="preserve">Hold: max bid (selected measure)</t>
  </si>
  <si>
    <t xml:space="preserve">Hold: all-in cost at max bid</t>
  </si>
  <si>
    <t xml:space="preserve">Hold: yield on cost at max bid</t>
  </si>
  <si>
    <t xml:space="preserve">Hold: cash left in after refi</t>
  </si>
  <si>
    <t xml:space="preserve">Hold: cash-on-cash after refi</t>
  </si>
  <si>
    <t xml:space="preserve">Wholesale: max bid (assign to a flipper, keep the fee)</t>
  </si>
  <si>
    <t xml:space="preserve">Teardown: sale revenue</t>
  </si>
  <si>
    <t xml:space="preserve">Teardown: costs other than bid</t>
  </si>
  <si>
    <t xml:space="preserve">Teardown: max bid</t>
  </si>
  <si>
    <t xml:space="preserve">Profit and return at several bids. Change the % of ARV in row 2 (yellow) to move the ladder.</t>
  </si>
  <si>
    <t xml:space="preserve">At opening bid</t>
  </si>
  <si>
    <t xml:space="preserve">At max bid</t>
  </si>
  <si>
    <t xml:space="preserve">Max bid</t>
  </si>
  <si>
    <t xml:space="preserve">Bid</t>
  </si>
  <si>
    <t xml:space="preserve">Flip profit</t>
  </si>
  <si>
    <t xml:space="preserve">Flip ann. return</t>
  </si>
  <si>
    <t xml:space="preserve">Hold yield on cost</t>
  </si>
  <si>
    <t xml:space="preserve">Capital plan. Planned bid defaults to the max bid; overwrite it (yellow) with what you intend to bid. Include = Y to count it against the cash cap.</t>
  </si>
  <si>
    <t xml:space="preserve">Planned bid</t>
  </si>
  <si>
    <t xml:space="preserve">Include? (Y/N)</t>
  </si>
  <si>
    <t xml:space="preserve">Due Nov 4 (10% + premium)</t>
  </si>
  <si>
    <t xml:space="preserve">Due Nov 18 (90%)</t>
  </si>
  <si>
    <t xml:space="preserve">Cash after the sale (rehab, carry, legal, liens, unpaid city claims)</t>
  </si>
  <si>
    <t xml:space="preserve">Total cash in</t>
  </si>
  <si>
    <t xml:space="preserve">Running total (included)</t>
  </si>
  <si>
    <t xml:space="preserve">Profit / return at planned bid</t>
  </si>
  <si>
    <t xml:space="preserve">Cash due Nov 4 (included lots, less the bidder deposit)</t>
  </si>
  <si>
    <t xml:space="preserve">Bidder deposit (wired before the sale)</t>
  </si>
  <si>
    <t xml:space="preserve">Cash due Nov 18 (included lots)</t>
  </si>
  <si>
    <t xml:space="preserve">Cash after the sale (included lots)</t>
  </si>
  <si>
    <t xml:space="preserve">Total cash if every included lot is won</t>
  </si>
  <si>
    <t xml:space="preserve">Cash cap</t>
  </si>
  <si>
    <t xml:space="preserve">Room under cap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</si>
</sst>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\$#,##0;[RED]&quot;-$&quot;#,##0"/>
    <numFmt numFmtId="167" formatCode="0.0%"/>
    <numFmt numFmtId="168" formatCode="0.000%"/>
    <numFmt numFmtId="169" formatCode="0.0&quot; mo&quot;"/>
    <numFmt numFmtId="170" formatCode="0.0000%"/>
    <numFmt numFmtId="171" formatCode="0.00%"/>
    <numFmt numFmtId="172" formatCode="0"/>
    <numFmt numFmtId="173" formatCode="0.00\x"/>
    <numFmt numFmtId="174" formatCode="#,##0"/>
    <numFmt numFmtId="175" formatCode="General"/>
    <numFmt numFmtId="176" formatCode="0%&quot; of ARV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27.7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27.7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27.75" hidden="false" customHeight="tru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5" t="s">
        <v>18</v>
      </c>
    </row>
    <row r="2" customFormat="false" ht="15" hidden="false" customHeight="false" outlineLevel="0" collapsed="false">
      <c r="A2" s="0" t="s">
        <v>19</v>
      </c>
    </row>
    <row r="4" customFormat="false" ht="15" hidden="false" customHeight="false" outlineLevel="0" collapsed="false">
      <c r="A4" s="6" t="s">
        <v>20</v>
      </c>
    </row>
    <row r="5" customFormat="false" ht="15" hidden="false" customHeight="false" outlineLevel="0" collapsed="false">
      <c r="A5" s="0" t="s">
        <v>21</v>
      </c>
      <c r="B5" s="7" t="n">
        <v>365000</v>
      </c>
      <c r="C5" s="7" t="n">
        <v>380000</v>
      </c>
      <c r="D5" s="7" t="n">
        <v>395000</v>
      </c>
      <c r="E5" s="7" t="n">
        <v>410000</v>
      </c>
      <c r="F5" s="7" t="n">
        <v>430000</v>
      </c>
    </row>
    <row r="6" customFormat="false" ht="15" hidden="false" customHeight="false" outlineLevel="0" collapsed="false">
      <c r="A6" s="0" t="s">
        <v>22</v>
      </c>
      <c r="B6" s="8" t="n">
        <v>192500</v>
      </c>
      <c r="C6" s="8" t="n">
        <v>204600</v>
      </c>
      <c r="D6" s="8" t="n">
        <v>216700</v>
      </c>
      <c r="E6" s="8" t="n">
        <v>228900</v>
      </c>
      <c r="F6" s="8" t="n">
        <v>245100</v>
      </c>
    </row>
    <row r="7" customFormat="false" ht="15" hidden="false" customHeight="false" outlineLevel="0" collapsed="false">
      <c r="A7" s="0" t="s">
        <v>23</v>
      </c>
      <c r="B7" s="8" t="n">
        <v>163600</v>
      </c>
      <c r="C7" s="8" t="n">
        <v>175600</v>
      </c>
      <c r="D7" s="8" t="n">
        <v>187700</v>
      </c>
      <c r="E7" s="8" t="n">
        <v>199700</v>
      </c>
      <c r="F7" s="8" t="n">
        <v>215800</v>
      </c>
    </row>
    <row r="8" customFormat="false" ht="15" hidden="false" customHeight="false" outlineLevel="0" collapsed="false">
      <c r="A8" s="0" t="s">
        <v>24</v>
      </c>
      <c r="B8" s="8" t="n">
        <v>145600</v>
      </c>
      <c r="C8" s="8" t="n">
        <v>157600</v>
      </c>
      <c r="D8" s="8" t="n">
        <v>169500</v>
      </c>
      <c r="E8" s="8" t="n">
        <v>181500</v>
      </c>
      <c r="F8" s="8" t="n">
        <v>197500</v>
      </c>
    </row>
    <row r="9" customFormat="false" ht="15" hidden="false" customHeight="false" outlineLevel="0" collapsed="false">
      <c r="A9" s="0" t="s">
        <v>25</v>
      </c>
      <c r="B9" s="8" t="n">
        <v>115600</v>
      </c>
      <c r="C9" s="8" t="n">
        <v>127500</v>
      </c>
      <c r="D9" s="8" t="n">
        <v>139400</v>
      </c>
      <c r="E9" s="8" t="n">
        <v>151300</v>
      </c>
      <c r="F9" s="8" t="n">
        <v>167100</v>
      </c>
    </row>
    <row r="11" customFormat="false" ht="15" hidden="false" customHeight="false" outlineLevel="0" collapsed="false">
      <c r="A11" s="6" t="s">
        <v>26</v>
      </c>
    </row>
    <row r="12" customFormat="false" ht="15" hidden="false" customHeight="false" outlineLevel="0" collapsed="false">
      <c r="A12" s="0" t="s">
        <v>21</v>
      </c>
      <c r="B12" s="7" t="n">
        <v>365000</v>
      </c>
      <c r="C12" s="7" t="n">
        <v>380000</v>
      </c>
      <c r="D12" s="7" t="n">
        <v>395000</v>
      </c>
      <c r="E12" s="7" t="n">
        <v>410000</v>
      </c>
      <c r="F12" s="7" t="n">
        <v>430000</v>
      </c>
    </row>
    <row r="13" customFormat="false" ht="15" hidden="false" customHeight="false" outlineLevel="0" collapsed="false">
      <c r="A13" s="0" t="s">
        <v>22</v>
      </c>
      <c r="B13" s="8" t="n">
        <v>241900</v>
      </c>
      <c r="C13" s="8" t="n">
        <v>254000</v>
      </c>
      <c r="D13" s="8" t="n">
        <v>266100</v>
      </c>
      <c r="E13" s="8" t="n">
        <v>278300</v>
      </c>
      <c r="F13" s="8" t="n">
        <v>294500</v>
      </c>
    </row>
    <row r="14" customFormat="false" ht="15" hidden="false" customHeight="false" outlineLevel="0" collapsed="false">
      <c r="A14" s="0" t="s">
        <v>23</v>
      </c>
      <c r="B14" s="8" t="n">
        <v>213000</v>
      </c>
      <c r="C14" s="8" t="n">
        <v>225000</v>
      </c>
      <c r="D14" s="8" t="n">
        <v>237100</v>
      </c>
      <c r="E14" s="8" t="n">
        <v>249100</v>
      </c>
      <c r="F14" s="8" t="n">
        <v>265200</v>
      </c>
    </row>
    <row r="15" customFormat="false" ht="15" hidden="false" customHeight="false" outlineLevel="0" collapsed="false">
      <c r="A15" s="0" t="s">
        <v>24</v>
      </c>
      <c r="B15" s="8" t="n">
        <v>195000</v>
      </c>
      <c r="C15" s="8" t="n">
        <v>207000</v>
      </c>
      <c r="D15" s="8" t="n">
        <v>218900</v>
      </c>
      <c r="E15" s="8" t="n">
        <v>230900</v>
      </c>
      <c r="F15" s="8" t="n">
        <v>246900</v>
      </c>
    </row>
    <row r="16" customFormat="false" ht="15" hidden="false" customHeight="false" outlineLevel="0" collapsed="false">
      <c r="A16" s="0" t="s">
        <v>25</v>
      </c>
      <c r="B16" s="8" t="n">
        <v>165000</v>
      </c>
      <c r="C16" s="8" t="n">
        <v>176900</v>
      </c>
      <c r="D16" s="8" t="n">
        <v>188800</v>
      </c>
      <c r="E16" s="8" t="n">
        <v>200700</v>
      </c>
      <c r="F16" s="8" t="n">
        <v>216500</v>
      </c>
    </row>
    <row r="18" customFormat="false" ht="15" hidden="false" customHeight="false" outlineLevel="0" collapsed="false">
      <c r="A18" s="6" t="s">
        <v>27</v>
      </c>
    </row>
    <row r="19" customFormat="false" ht="15" hidden="false" customHeight="false" outlineLevel="0" collapsed="false">
      <c r="A19" s="0" t="s">
        <v>21</v>
      </c>
      <c r="B19" s="7" t="n">
        <v>365000</v>
      </c>
      <c r="C19" s="7" t="n">
        <v>380000</v>
      </c>
      <c r="D19" s="7" t="n">
        <v>395000</v>
      </c>
      <c r="E19" s="7" t="n">
        <v>410000</v>
      </c>
      <c r="F19" s="7" t="n">
        <v>430000</v>
      </c>
    </row>
    <row r="20" customFormat="false" ht="15" hidden="false" customHeight="false" outlineLevel="0" collapsed="false">
      <c r="A20" s="0" t="s">
        <v>22</v>
      </c>
      <c r="B20" s="8" t="n">
        <v>171700</v>
      </c>
      <c r="C20" s="8" t="n">
        <v>183100</v>
      </c>
      <c r="D20" s="8" t="n">
        <v>194600</v>
      </c>
      <c r="E20" s="8" t="n">
        <v>206000</v>
      </c>
      <c r="F20" s="8" t="n">
        <v>221300</v>
      </c>
    </row>
    <row r="21" customFormat="false" ht="15" hidden="false" customHeight="false" outlineLevel="0" collapsed="false">
      <c r="A21" s="0" t="s">
        <v>23</v>
      </c>
      <c r="B21" s="8" t="n">
        <v>144400</v>
      </c>
      <c r="C21" s="8" t="n">
        <v>155800</v>
      </c>
      <c r="D21" s="9" t="n">
        <v>167100</v>
      </c>
      <c r="E21" s="8" t="n">
        <v>178500</v>
      </c>
      <c r="F21" s="8" t="n">
        <v>193700</v>
      </c>
    </row>
    <row r="22" customFormat="false" ht="15" hidden="false" customHeight="false" outlineLevel="0" collapsed="false">
      <c r="A22" s="0" t="s">
        <v>24</v>
      </c>
      <c r="B22" s="8" t="n">
        <v>127400</v>
      </c>
      <c r="C22" s="8" t="n">
        <v>138700</v>
      </c>
      <c r="D22" s="8" t="n">
        <v>150000</v>
      </c>
      <c r="E22" s="8" t="n">
        <v>161300</v>
      </c>
      <c r="F22" s="8" t="n">
        <v>176400</v>
      </c>
    </row>
    <row r="23" customFormat="false" ht="15" hidden="false" customHeight="false" outlineLevel="0" collapsed="false">
      <c r="A23" s="0" t="s">
        <v>25</v>
      </c>
      <c r="B23" s="8" t="n">
        <v>99100</v>
      </c>
      <c r="C23" s="8" t="n">
        <v>110300</v>
      </c>
      <c r="D23" s="8" t="n">
        <v>121500</v>
      </c>
      <c r="E23" s="8" t="n">
        <v>132800</v>
      </c>
      <c r="F23" s="8" t="n">
        <v>147700</v>
      </c>
    </row>
    <row r="25" customFormat="false" ht="15" hidden="false" customHeight="false" outlineLevel="0" collapsed="false">
      <c r="A25" s="6" t="s">
        <v>28</v>
      </c>
    </row>
    <row r="26" customFormat="false" ht="15" hidden="false" customHeight="false" outlineLevel="0" collapsed="false">
      <c r="A26" s="0" t="s">
        <v>21</v>
      </c>
      <c r="B26" s="7" t="n">
        <v>365000</v>
      </c>
      <c r="C26" s="7" t="n">
        <v>380000</v>
      </c>
      <c r="D26" s="7" t="n">
        <v>395000</v>
      </c>
      <c r="E26" s="7" t="n">
        <v>410000</v>
      </c>
      <c r="F26" s="7" t="n">
        <v>430000</v>
      </c>
    </row>
    <row r="27" customFormat="false" ht="15" hidden="false" customHeight="false" outlineLevel="0" collapsed="false">
      <c r="A27" s="0" t="s">
        <v>22</v>
      </c>
      <c r="B27" s="8" t="n">
        <v>221100</v>
      </c>
      <c r="C27" s="8" t="n">
        <v>232500</v>
      </c>
      <c r="D27" s="8" t="n">
        <v>244000</v>
      </c>
      <c r="E27" s="8" t="n">
        <v>255400</v>
      </c>
      <c r="F27" s="8" t="n">
        <v>270700</v>
      </c>
    </row>
    <row r="28" customFormat="false" ht="15" hidden="false" customHeight="false" outlineLevel="0" collapsed="false">
      <c r="A28" s="0" t="s">
        <v>23</v>
      </c>
      <c r="B28" s="8" t="n">
        <v>193800</v>
      </c>
      <c r="C28" s="8" t="n">
        <v>205200</v>
      </c>
      <c r="D28" s="9" t="n">
        <v>216500</v>
      </c>
      <c r="E28" s="8" t="n">
        <v>227900</v>
      </c>
      <c r="F28" s="8" t="n">
        <v>243100</v>
      </c>
    </row>
    <row r="29" customFormat="false" ht="15" hidden="false" customHeight="false" outlineLevel="0" collapsed="false">
      <c r="A29" s="0" t="s">
        <v>24</v>
      </c>
      <c r="B29" s="8" t="n">
        <v>176800</v>
      </c>
      <c r="C29" s="8" t="n">
        <v>188100</v>
      </c>
      <c r="D29" s="8" t="n">
        <v>199400</v>
      </c>
      <c r="E29" s="8" t="n">
        <v>210700</v>
      </c>
      <c r="F29" s="8" t="n">
        <v>225800</v>
      </c>
    </row>
    <row r="30" customFormat="false" ht="15" hidden="false" customHeight="false" outlineLevel="0" collapsed="false">
      <c r="A30" s="0" t="s">
        <v>25</v>
      </c>
      <c r="B30" s="8" t="n">
        <v>148500</v>
      </c>
      <c r="C30" s="8" t="n">
        <v>159700</v>
      </c>
      <c r="D30" s="8" t="n">
        <v>170900</v>
      </c>
      <c r="E30" s="8" t="n">
        <v>182200</v>
      </c>
      <c r="F30" s="8" t="n">
        <v>197100</v>
      </c>
    </row>
    <row r="32" customFormat="false" ht="15" hidden="false" customHeight="false" outlineLevel="0" collapsed="false">
      <c r="A32" s="6" t="s">
        <v>29</v>
      </c>
    </row>
    <row r="33" customFormat="false" ht="15" hidden="false" customHeight="false" outlineLevel="0" collapsed="false">
      <c r="A33" s="0" t="s">
        <v>21</v>
      </c>
      <c r="B33" s="7" t="n">
        <v>365000</v>
      </c>
      <c r="C33" s="7" t="n">
        <v>380000</v>
      </c>
      <c r="D33" s="7" t="n">
        <v>395000</v>
      </c>
      <c r="E33" s="7" t="n">
        <v>410000</v>
      </c>
      <c r="F33" s="7" t="n">
        <v>430000</v>
      </c>
    </row>
    <row r="34" customFormat="false" ht="15" hidden="false" customHeight="false" outlineLevel="0" collapsed="false">
      <c r="A34" s="0" t="s">
        <v>22</v>
      </c>
      <c r="B34" s="8" t="n">
        <v>156000</v>
      </c>
      <c r="C34" s="8" t="n">
        <v>167000</v>
      </c>
      <c r="D34" s="8" t="n">
        <v>178000</v>
      </c>
      <c r="E34" s="8" t="n">
        <v>189000</v>
      </c>
      <c r="F34" s="8" t="n">
        <v>203700</v>
      </c>
    </row>
    <row r="35" customFormat="false" ht="15" hidden="false" customHeight="false" outlineLevel="0" collapsed="false">
      <c r="A35" s="0" t="s">
        <v>23</v>
      </c>
      <c r="B35" s="8" t="n">
        <v>129700</v>
      </c>
      <c r="C35" s="8" t="n">
        <v>140600</v>
      </c>
      <c r="D35" s="8" t="n">
        <v>151600</v>
      </c>
      <c r="E35" s="8" t="n">
        <v>162500</v>
      </c>
      <c r="F35" s="8" t="n">
        <v>177100</v>
      </c>
    </row>
    <row r="36" customFormat="false" ht="15" hidden="false" customHeight="false" outlineLevel="0" collapsed="false">
      <c r="A36" s="0" t="s">
        <v>24</v>
      </c>
      <c r="B36" s="8" t="n">
        <v>113400</v>
      </c>
      <c r="C36" s="8" t="n">
        <v>124200</v>
      </c>
      <c r="D36" s="8" t="n">
        <v>135100</v>
      </c>
      <c r="E36" s="8" t="n">
        <v>146000</v>
      </c>
      <c r="F36" s="8" t="n">
        <v>160500</v>
      </c>
    </row>
    <row r="37" customFormat="false" ht="15" hidden="false" customHeight="false" outlineLevel="0" collapsed="false">
      <c r="A37" s="0" t="s">
        <v>25</v>
      </c>
      <c r="B37" s="8" t="n">
        <v>86100</v>
      </c>
      <c r="C37" s="8" t="n">
        <v>96900</v>
      </c>
      <c r="D37" s="8" t="n">
        <v>107700</v>
      </c>
      <c r="E37" s="8" t="n">
        <v>118500</v>
      </c>
      <c r="F37" s="8" t="n">
        <v>132900</v>
      </c>
    </row>
    <row r="39" customFormat="false" ht="15" hidden="false" customHeight="false" outlineLevel="0" collapsed="false">
      <c r="A39" s="6" t="s">
        <v>30</v>
      </c>
    </row>
    <row r="40" customFormat="false" ht="15" hidden="false" customHeight="false" outlineLevel="0" collapsed="false">
      <c r="A40" s="0" t="s">
        <v>21</v>
      </c>
      <c r="B40" s="7" t="n">
        <v>365000</v>
      </c>
      <c r="C40" s="7" t="n">
        <v>380000</v>
      </c>
      <c r="D40" s="7" t="n">
        <v>395000</v>
      </c>
      <c r="E40" s="7" t="n">
        <v>410000</v>
      </c>
      <c r="F40" s="7" t="n">
        <v>430000</v>
      </c>
    </row>
    <row r="41" customFormat="false" ht="15" hidden="false" customHeight="false" outlineLevel="0" collapsed="false">
      <c r="A41" s="0" t="s">
        <v>22</v>
      </c>
      <c r="B41" s="8" t="n">
        <v>205400</v>
      </c>
      <c r="C41" s="8" t="n">
        <v>216400</v>
      </c>
      <c r="D41" s="8" t="n">
        <v>227400</v>
      </c>
      <c r="E41" s="8" t="n">
        <v>238400</v>
      </c>
      <c r="F41" s="8" t="n">
        <v>253100</v>
      </c>
    </row>
    <row r="42" customFormat="false" ht="15" hidden="false" customHeight="false" outlineLevel="0" collapsed="false">
      <c r="A42" s="0" t="s">
        <v>23</v>
      </c>
      <c r="B42" s="8" t="n">
        <v>179100</v>
      </c>
      <c r="C42" s="8" t="n">
        <v>190100</v>
      </c>
      <c r="D42" s="8" t="n">
        <v>201000</v>
      </c>
      <c r="E42" s="8" t="n">
        <v>211900</v>
      </c>
      <c r="F42" s="8" t="n">
        <v>226500</v>
      </c>
    </row>
    <row r="43" customFormat="false" ht="15" hidden="false" customHeight="false" outlineLevel="0" collapsed="false">
      <c r="A43" s="0" t="s">
        <v>24</v>
      </c>
      <c r="B43" s="8" t="n">
        <v>162800</v>
      </c>
      <c r="C43" s="8" t="n">
        <v>173600</v>
      </c>
      <c r="D43" s="8" t="n">
        <v>184500</v>
      </c>
      <c r="E43" s="8" t="n">
        <v>195400</v>
      </c>
      <c r="F43" s="8" t="n">
        <v>209900</v>
      </c>
    </row>
    <row r="44" customFormat="false" ht="15" hidden="false" customHeight="false" outlineLevel="0" collapsed="false">
      <c r="A44" s="0" t="s">
        <v>25</v>
      </c>
      <c r="B44" s="8" t="n">
        <v>135500</v>
      </c>
      <c r="C44" s="8" t="n">
        <v>146300</v>
      </c>
      <c r="D44" s="8" t="n">
        <v>157100</v>
      </c>
      <c r="E44" s="8" t="n">
        <v>167900</v>
      </c>
      <c r="F44" s="8" t="n">
        <v>182300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9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10" t="s">
        <v>31</v>
      </c>
    </row>
    <row r="3" customFormat="false" ht="45" hidden="false" customHeight="true" outlineLevel="0" collapsed="false">
      <c r="A3" s="11" t="s">
        <v>32</v>
      </c>
      <c r="B3" s="11" t="s">
        <v>33</v>
      </c>
      <c r="C3" s="11" t="s">
        <v>34</v>
      </c>
    </row>
    <row r="4" customFormat="false" ht="15" hidden="false" customHeight="true" outlineLevel="0" collapsed="false">
      <c r="A4" s="12" t="s">
        <v>35</v>
      </c>
      <c r="B4" s="13"/>
      <c r="C4" s="13"/>
    </row>
    <row r="5" customFormat="false" ht="15" hidden="false" customHeight="true" outlineLevel="0" collapsed="false">
      <c r="A5" s="1" t="s">
        <v>36</v>
      </c>
      <c r="B5" s="14" t="n">
        <v>50000</v>
      </c>
      <c r="C5" s="1" t="s">
        <v>37</v>
      </c>
    </row>
    <row r="6" customFormat="false" ht="15" hidden="false" customHeight="true" outlineLevel="0" collapsed="false">
      <c r="A6" s="1" t="s">
        <v>38</v>
      </c>
      <c r="B6" s="15" t="n">
        <v>0.15</v>
      </c>
      <c r="C6" s="1" t="s">
        <v>39</v>
      </c>
    </row>
    <row r="7" customFormat="false" ht="15" hidden="false" customHeight="true" outlineLevel="0" collapsed="false">
      <c r="A7" s="1" t="s">
        <v>40</v>
      </c>
      <c r="B7" s="14" t="n">
        <v>300000</v>
      </c>
      <c r="C7" s="1" t="s">
        <v>41</v>
      </c>
    </row>
    <row r="8" customFormat="false" ht="15" hidden="false" customHeight="true" outlineLevel="0" collapsed="false">
      <c r="A8" s="1" t="s">
        <v>42</v>
      </c>
      <c r="B8" s="15" t="n">
        <v>0.12</v>
      </c>
      <c r="C8" s="1" t="s">
        <v>43</v>
      </c>
    </row>
    <row r="9" customFormat="false" ht="15" hidden="false" customHeight="true" outlineLevel="0" collapsed="false">
      <c r="A9" s="1" t="s">
        <v>44</v>
      </c>
      <c r="B9" s="16" t="s">
        <v>45</v>
      </c>
      <c r="C9" s="1" t="s">
        <v>46</v>
      </c>
    </row>
    <row r="10" customFormat="false" ht="15" hidden="false" customHeight="true" outlineLevel="0" collapsed="false">
      <c r="A10" s="1" t="s">
        <v>47</v>
      </c>
      <c r="B10" s="14" t="n">
        <v>1000000</v>
      </c>
      <c r="C10" s="1" t="s">
        <v>48</v>
      </c>
    </row>
    <row r="11" customFormat="false" ht="15" hidden="false" customHeight="true" outlineLevel="0" collapsed="false">
      <c r="A11" s="12" t="s">
        <v>49</v>
      </c>
      <c r="B11" s="13"/>
      <c r="C11" s="13"/>
    </row>
    <row r="12" customFormat="false" ht="15" hidden="false" customHeight="true" outlineLevel="0" collapsed="false">
      <c r="A12" s="1" t="s">
        <v>50</v>
      </c>
      <c r="B12" s="15" t="n">
        <v>0.015</v>
      </c>
      <c r="C12" s="1" t="s">
        <v>51</v>
      </c>
    </row>
    <row r="13" customFormat="false" ht="15" hidden="false" customHeight="true" outlineLevel="0" collapsed="false">
      <c r="A13" s="1" t="s">
        <v>52</v>
      </c>
      <c r="B13" s="15" t="n">
        <v>0.1</v>
      </c>
      <c r="C13" s="1" t="s">
        <v>53</v>
      </c>
    </row>
    <row r="14" customFormat="false" ht="15" hidden="false" customHeight="true" outlineLevel="0" collapsed="false">
      <c r="A14" s="1" t="s">
        <v>54</v>
      </c>
      <c r="B14" s="14" t="n">
        <v>70</v>
      </c>
      <c r="C14" s="1" t="s">
        <v>55</v>
      </c>
    </row>
    <row r="15" customFormat="false" ht="15" hidden="false" customHeight="true" outlineLevel="0" collapsed="false">
      <c r="A15" s="1" t="s">
        <v>56</v>
      </c>
      <c r="B15" s="14" t="n">
        <v>5000</v>
      </c>
      <c r="C15" s="1" t="s">
        <v>57</v>
      </c>
    </row>
    <row r="16" customFormat="false" ht="15" hidden="false" customHeight="true" outlineLevel="0" collapsed="false">
      <c r="A16" s="1" t="s">
        <v>58</v>
      </c>
      <c r="B16" s="17" t="n">
        <v>0.04578</v>
      </c>
      <c r="C16" s="1" t="s">
        <v>59</v>
      </c>
    </row>
    <row r="17" customFormat="false" ht="15" hidden="false" customHeight="true" outlineLevel="0" collapsed="false">
      <c r="A17" s="1" t="s">
        <v>60</v>
      </c>
      <c r="B17" s="14" t="n">
        <v>2500</v>
      </c>
      <c r="C17" s="1" t="s">
        <v>61</v>
      </c>
    </row>
    <row r="18" customFormat="false" ht="15" hidden="false" customHeight="true" outlineLevel="0" collapsed="false">
      <c r="A18" s="1" t="s">
        <v>62</v>
      </c>
      <c r="B18" s="14" t="n">
        <v>2000</v>
      </c>
      <c r="C18" s="1" t="s">
        <v>63</v>
      </c>
    </row>
    <row r="19" customFormat="false" ht="15" hidden="false" customHeight="true" outlineLevel="0" collapsed="false">
      <c r="A19" s="1" t="s">
        <v>64</v>
      </c>
      <c r="B19" s="14" t="n">
        <v>2500</v>
      </c>
      <c r="C19" s="1" t="s">
        <v>65</v>
      </c>
    </row>
    <row r="20" customFormat="false" ht="15" hidden="false" customHeight="true" outlineLevel="0" collapsed="false">
      <c r="A20" s="12" t="s">
        <v>66</v>
      </c>
      <c r="B20" s="13"/>
      <c r="C20" s="13"/>
    </row>
    <row r="21" customFormat="false" ht="15" hidden="false" customHeight="true" outlineLevel="0" collapsed="false">
      <c r="A21" s="1" t="s">
        <v>67</v>
      </c>
      <c r="B21" s="18" t="n">
        <v>12</v>
      </c>
      <c r="C21" s="1" t="s">
        <v>68</v>
      </c>
    </row>
    <row r="22" customFormat="false" ht="15" hidden="false" customHeight="true" outlineLevel="0" collapsed="false">
      <c r="A22" s="1" t="s">
        <v>69</v>
      </c>
      <c r="B22" s="18" t="n">
        <v>8</v>
      </c>
      <c r="C22" s="1" t="s">
        <v>70</v>
      </c>
    </row>
    <row r="23" customFormat="false" ht="15" hidden="false" customHeight="true" outlineLevel="0" collapsed="false">
      <c r="A23" s="1" t="s">
        <v>71</v>
      </c>
      <c r="B23" s="16" t="s">
        <v>72</v>
      </c>
      <c r="C23" s="1" t="s">
        <v>73</v>
      </c>
    </row>
    <row r="24" customFormat="false" ht="15" hidden="false" customHeight="true" outlineLevel="0" collapsed="false">
      <c r="A24" s="1" t="s">
        <v>74</v>
      </c>
      <c r="B24" s="18" t="n">
        <v>3</v>
      </c>
    </row>
    <row r="25" customFormat="false" ht="15" hidden="false" customHeight="true" outlineLevel="0" collapsed="false">
      <c r="A25" s="1" t="s">
        <v>75</v>
      </c>
      <c r="B25" s="18" t="n">
        <v>2</v>
      </c>
    </row>
    <row r="26" customFormat="false" ht="15" hidden="false" customHeight="true" outlineLevel="0" collapsed="false">
      <c r="A26" s="12" t="s">
        <v>76</v>
      </c>
      <c r="B26" s="13"/>
      <c r="C26" s="13"/>
    </row>
    <row r="27" customFormat="false" ht="15" hidden="false" customHeight="true" outlineLevel="0" collapsed="false">
      <c r="A27" s="1" t="s">
        <v>77</v>
      </c>
      <c r="B27" s="19" t="n">
        <v>0.013998</v>
      </c>
      <c r="C27" s="1" t="s">
        <v>78</v>
      </c>
    </row>
    <row r="28" customFormat="false" ht="15" hidden="false" customHeight="true" outlineLevel="0" collapsed="false">
      <c r="A28" s="1" t="s">
        <v>79</v>
      </c>
      <c r="B28" s="14" t="n">
        <v>175</v>
      </c>
    </row>
    <row r="29" customFormat="false" ht="15" hidden="false" customHeight="true" outlineLevel="0" collapsed="false">
      <c r="A29" s="1" t="s">
        <v>80</v>
      </c>
      <c r="B29" s="14" t="n">
        <v>150</v>
      </c>
      <c r="C29" s="1" t="s">
        <v>81</v>
      </c>
    </row>
    <row r="30" customFormat="false" ht="15" hidden="false" customHeight="true" outlineLevel="0" collapsed="false">
      <c r="A30" s="1" t="s">
        <v>82</v>
      </c>
      <c r="B30" s="14" t="n">
        <v>100</v>
      </c>
    </row>
    <row r="31" customFormat="false" ht="15" hidden="false" customHeight="true" outlineLevel="0" collapsed="false">
      <c r="A31" s="1" t="s">
        <v>83</v>
      </c>
      <c r="B31" s="18" t="n">
        <v>6</v>
      </c>
      <c r="C31" s="1" t="s">
        <v>84</v>
      </c>
    </row>
    <row r="32" customFormat="false" ht="15" hidden="false" customHeight="true" outlineLevel="0" collapsed="false">
      <c r="A32" s="12" t="s">
        <v>85</v>
      </c>
      <c r="B32" s="13"/>
      <c r="C32" s="13"/>
    </row>
    <row r="33" customFormat="false" ht="15" hidden="false" customHeight="true" outlineLevel="0" collapsed="false">
      <c r="A33" s="1" t="s">
        <v>86</v>
      </c>
      <c r="B33" s="14" t="n">
        <v>10000</v>
      </c>
      <c r="C33" s="1" t="s">
        <v>87</v>
      </c>
    </row>
    <row r="34" customFormat="false" ht="15" hidden="false" customHeight="true" outlineLevel="0" collapsed="false">
      <c r="A34" s="12" t="s">
        <v>88</v>
      </c>
      <c r="B34" s="13"/>
      <c r="C34" s="13"/>
    </row>
    <row r="35" customFormat="false" ht="15" hidden="false" customHeight="true" outlineLevel="0" collapsed="false">
      <c r="A35" s="1" t="s">
        <v>89</v>
      </c>
      <c r="B35" s="15" t="n">
        <v>0.2</v>
      </c>
      <c r="C35" s="1" t="s">
        <v>90</v>
      </c>
    </row>
    <row r="36" customFormat="false" ht="15" hidden="false" customHeight="true" outlineLevel="0" collapsed="false">
      <c r="A36" s="1" t="s">
        <v>91</v>
      </c>
      <c r="B36" s="14" t="n">
        <v>10000</v>
      </c>
      <c r="C36" s="1" t="s">
        <v>92</v>
      </c>
    </row>
    <row r="37" customFormat="false" ht="15" hidden="false" customHeight="true" outlineLevel="0" collapsed="false">
      <c r="A37" s="12" t="s">
        <v>93</v>
      </c>
      <c r="B37" s="13"/>
      <c r="C37" s="13"/>
    </row>
    <row r="38" customFormat="false" ht="15" hidden="false" customHeight="true" outlineLevel="0" collapsed="false">
      <c r="A38" s="1" t="s">
        <v>94</v>
      </c>
      <c r="B38" s="15" t="n">
        <v>0.05</v>
      </c>
    </row>
    <row r="39" customFormat="false" ht="15" hidden="false" customHeight="true" outlineLevel="0" collapsed="false">
      <c r="A39" s="1" t="s">
        <v>95</v>
      </c>
      <c r="B39" s="17" t="n">
        <v>0.02289</v>
      </c>
      <c r="C39" s="1" t="s">
        <v>96</v>
      </c>
    </row>
    <row r="40" customFormat="false" ht="15" hidden="false" customHeight="true" outlineLevel="0" collapsed="false">
      <c r="A40" s="1" t="s">
        <v>97</v>
      </c>
      <c r="B40" s="15" t="n">
        <v>0.01</v>
      </c>
    </row>
    <row r="41" customFormat="false" ht="15" hidden="false" customHeight="true" outlineLevel="0" collapsed="false">
      <c r="A41" s="1" t="s">
        <v>98</v>
      </c>
      <c r="B41" s="15" t="n">
        <v>0.01</v>
      </c>
    </row>
    <row r="42" customFormat="false" ht="15" hidden="false" customHeight="true" outlineLevel="0" collapsed="false">
      <c r="A42" s="12" t="s">
        <v>99</v>
      </c>
      <c r="B42" s="13"/>
      <c r="C42" s="13"/>
    </row>
    <row r="43" customFormat="false" ht="15" hidden="false" customHeight="true" outlineLevel="0" collapsed="false">
      <c r="A43" s="1" t="s">
        <v>100</v>
      </c>
      <c r="B43" s="15" t="n">
        <v>0.07</v>
      </c>
      <c r="C43" s="1" t="s">
        <v>101</v>
      </c>
    </row>
    <row r="44" customFormat="false" ht="15" hidden="false" customHeight="true" outlineLevel="0" collapsed="false">
      <c r="A44" s="1" t="s">
        <v>102</v>
      </c>
      <c r="B44" s="15" t="n">
        <v>0.08</v>
      </c>
      <c r="C44" s="1" t="s">
        <v>103</v>
      </c>
    </row>
    <row r="45" customFormat="false" ht="15" hidden="false" customHeight="true" outlineLevel="0" collapsed="false">
      <c r="A45" s="1" t="s">
        <v>104</v>
      </c>
      <c r="B45" s="15" t="n">
        <v>0.07</v>
      </c>
      <c r="C45" s="1" t="s">
        <v>103</v>
      </c>
    </row>
    <row r="46" customFormat="false" ht="15" hidden="false" customHeight="true" outlineLevel="0" collapsed="false">
      <c r="A46" s="1" t="s">
        <v>105</v>
      </c>
      <c r="B46" s="15" t="n">
        <v>0.05</v>
      </c>
      <c r="C46" s="1" t="s">
        <v>103</v>
      </c>
    </row>
    <row r="47" customFormat="false" ht="15" hidden="false" customHeight="true" outlineLevel="0" collapsed="false">
      <c r="A47" s="1" t="s">
        <v>106</v>
      </c>
      <c r="B47" s="14" t="n">
        <v>1200</v>
      </c>
    </row>
    <row r="48" customFormat="false" ht="15" hidden="false" customHeight="true" outlineLevel="0" collapsed="false">
      <c r="A48" s="1" t="s">
        <v>107</v>
      </c>
      <c r="B48" s="14" t="n">
        <v>700</v>
      </c>
      <c r="C48" s="1" t="s">
        <v>108</v>
      </c>
    </row>
    <row r="49" customFormat="false" ht="15" hidden="false" customHeight="true" outlineLevel="0" collapsed="false">
      <c r="A49" s="1" t="s">
        <v>109</v>
      </c>
      <c r="B49" s="15" t="n">
        <v>0.75</v>
      </c>
      <c r="C49" s="1" t="s">
        <v>110</v>
      </c>
    </row>
    <row r="50" customFormat="false" ht="15" hidden="false" customHeight="true" outlineLevel="0" collapsed="false">
      <c r="A50" s="1" t="s">
        <v>111</v>
      </c>
      <c r="B50" s="20" t="n">
        <v>0.0725</v>
      </c>
    </row>
    <row r="51" customFormat="false" ht="15" hidden="false" customHeight="true" outlineLevel="0" collapsed="false">
      <c r="A51" s="1" t="s">
        <v>112</v>
      </c>
      <c r="B51" s="21" t="n">
        <v>30</v>
      </c>
    </row>
    <row r="52" customFormat="false" ht="15" hidden="false" customHeight="true" outlineLevel="0" collapsed="false">
      <c r="A52" s="1" t="s">
        <v>113</v>
      </c>
      <c r="B52" s="22" t="n">
        <v>1.2</v>
      </c>
      <c r="C52" s="1" t="s">
        <v>114</v>
      </c>
    </row>
    <row r="53" customFormat="false" ht="15" hidden="false" customHeight="true" outlineLevel="0" collapsed="false">
      <c r="A53" s="1" t="s">
        <v>115</v>
      </c>
      <c r="B53" s="15" t="n">
        <v>0.03</v>
      </c>
    </row>
    <row r="54" customFormat="false" ht="15" hidden="false" customHeight="true" outlineLevel="0" collapsed="false">
      <c r="A54" s="12" t="s">
        <v>116</v>
      </c>
      <c r="B54" s="13"/>
      <c r="C54" s="13"/>
    </row>
    <row r="55" customFormat="false" ht="15" hidden="false" customHeight="true" outlineLevel="0" collapsed="false">
      <c r="A55" s="1" t="s">
        <v>117</v>
      </c>
      <c r="B55" s="15" t="n">
        <v>0.15</v>
      </c>
      <c r="C55" s="1" t="s">
        <v>118</v>
      </c>
    </row>
    <row r="56" customFormat="false" ht="15" hidden="false" customHeight="true" outlineLevel="0" collapsed="false">
      <c r="A56" s="1" t="s">
        <v>119</v>
      </c>
      <c r="B56" s="14" t="n">
        <v>15000</v>
      </c>
    </row>
    <row r="57" customFormat="false" ht="15" hidden="false" customHeight="true" outlineLevel="0" collapsed="false">
      <c r="A57" s="12" t="s">
        <v>120</v>
      </c>
      <c r="B57" s="13"/>
      <c r="C57" s="13"/>
    </row>
    <row r="58" customFormat="false" ht="15" hidden="false" customHeight="true" outlineLevel="0" collapsed="false">
      <c r="A58" s="1" t="s">
        <v>121</v>
      </c>
      <c r="B58" s="14" t="n">
        <v>30000</v>
      </c>
    </row>
    <row r="59" customFormat="false" ht="15" hidden="false" customHeight="true" outlineLevel="0" collapsed="false">
      <c r="A59" s="1" t="s">
        <v>122</v>
      </c>
      <c r="B59" s="14" t="n">
        <v>225</v>
      </c>
    </row>
    <row r="60" customFormat="false" ht="15" hidden="false" customHeight="true" outlineLevel="0" collapsed="false">
      <c r="A60" s="1" t="s">
        <v>123</v>
      </c>
      <c r="B60" s="15" t="n">
        <v>0.15</v>
      </c>
      <c r="C60" s="1" t="s">
        <v>124</v>
      </c>
    </row>
    <row r="61" customFormat="false" ht="15" hidden="false" customHeight="true" outlineLevel="0" collapsed="false">
      <c r="A61" s="1" t="s">
        <v>125</v>
      </c>
      <c r="B61" s="18" t="n">
        <v>14</v>
      </c>
    </row>
    <row r="62" customFormat="false" ht="15" hidden="false" customHeight="true" outlineLevel="0" collapsed="false">
      <c r="A62" s="1" t="s">
        <v>126</v>
      </c>
      <c r="B62" s="15" t="n">
        <v>0.15</v>
      </c>
      <c r="C62" s="1" t="s">
        <v>127</v>
      </c>
    </row>
    <row r="64" customFormat="false" ht="19.5" hidden="false" customHeight="true" outlineLevel="0" collapsed="false">
      <c r="A64" s="11" t="s">
        <v>128</v>
      </c>
      <c r="B64" s="11" t="s">
        <v>129</v>
      </c>
      <c r="C64" s="11" t="s">
        <v>130</v>
      </c>
      <c r="D64" s="11" t="s">
        <v>131</v>
      </c>
    </row>
    <row r="65" customFormat="false" ht="15" hidden="false" customHeight="true" outlineLevel="0" collapsed="false">
      <c r="A65" s="1" t="s">
        <v>22</v>
      </c>
      <c r="B65" s="14" t="n">
        <v>30</v>
      </c>
      <c r="C65" s="18" t="n">
        <v>2</v>
      </c>
      <c r="D65" s="1" t="s">
        <v>132</v>
      </c>
    </row>
    <row r="66" customFormat="false" ht="15" hidden="false" customHeight="true" outlineLevel="0" collapsed="false">
      <c r="A66" s="1" t="s">
        <v>23</v>
      </c>
      <c r="B66" s="14" t="n">
        <v>55</v>
      </c>
      <c r="C66" s="18" t="n">
        <v>3</v>
      </c>
      <c r="D66" s="1" t="s">
        <v>133</v>
      </c>
    </row>
    <row r="67" customFormat="false" ht="15" hidden="false" customHeight="true" outlineLevel="0" collapsed="false">
      <c r="A67" s="1" t="s">
        <v>24</v>
      </c>
      <c r="B67" s="14" t="n">
        <v>85</v>
      </c>
      <c r="C67" s="18" t="n">
        <v>5</v>
      </c>
      <c r="D67" s="1" t="s">
        <v>134</v>
      </c>
    </row>
    <row r="68" customFormat="false" ht="15" hidden="false" customHeight="true" outlineLevel="0" collapsed="false">
      <c r="A68" s="1" t="s">
        <v>25</v>
      </c>
      <c r="B68" s="14" t="n">
        <v>125</v>
      </c>
      <c r="C68" s="18" t="n">
        <v>7</v>
      </c>
      <c r="D68" s="1" t="s">
        <v>135</v>
      </c>
    </row>
  </sheetData>
  <dataValidations count="2">
    <dataValidation allowBlank="false" errorStyle="stop" operator="between" showDropDown="false" showErrorMessage="false" showInputMessage="false" sqref="B9" type="list">
      <formula1>"Yield on cost,Cash-on-cash"</formula1>
      <formula2>0</formula2>
    </dataValidation>
    <dataValidation allowBlank="false" errorStyle="stop" operator="between" showDropDown="false" showErrorMessage="false" showInputMessage="false" sqref="B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10" min="9" style="1" width="7"/>
    <col collapsed="false" customWidth="true" hidden="false" outlineLevel="0" max="14" min="11" style="1" width="11"/>
    <col collapsed="false" customWidth="true" hidden="false" outlineLevel="0" max="15" min="15" style="1" width="9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9" min="18" style="1" width="11"/>
    <col collapsed="false" customWidth="true" hidden="false" outlineLevel="0" max="22" min="20" style="1" width="9"/>
    <col collapsed="false" customWidth="true" hidden="false" outlineLevel="0" max="23" min="23" style="1" width="11"/>
    <col collapsed="false" customWidth="true" hidden="false" outlineLevel="0" max="24" min="24" style="1" width="40"/>
  </cols>
  <sheetData>
    <row r="1" customFormat="false" ht="15" hidden="false" customHeight="true" outlineLevel="0" collapsed="false">
      <c r="A1" s="23" t="s">
        <v>136</v>
      </c>
    </row>
    <row r="2" customFormat="false" ht="45" hidden="false" customHeight="true" outlineLevel="0" collapsed="false">
      <c r="A2" s="11" t="s">
        <v>137</v>
      </c>
      <c r="B2" s="11" t="s">
        <v>138</v>
      </c>
      <c r="C2" s="11" t="s">
        <v>139</v>
      </c>
      <c r="D2" s="11" t="s">
        <v>140</v>
      </c>
      <c r="E2" s="11" t="s">
        <v>141</v>
      </c>
      <c r="F2" s="11" t="s">
        <v>142</v>
      </c>
      <c r="G2" s="11" t="s">
        <v>143</v>
      </c>
      <c r="H2" s="11" t="s">
        <v>144</v>
      </c>
      <c r="I2" s="11" t="s">
        <v>145</v>
      </c>
      <c r="J2" s="11" t="s">
        <v>146</v>
      </c>
      <c r="K2" s="11" t="s">
        <v>147</v>
      </c>
      <c r="L2" s="11" t="s">
        <v>148</v>
      </c>
      <c r="M2" s="11" t="s">
        <v>149</v>
      </c>
      <c r="N2" s="11" t="s">
        <v>150</v>
      </c>
      <c r="O2" s="11" t="s">
        <v>151</v>
      </c>
      <c r="P2" s="11" t="s">
        <v>152</v>
      </c>
      <c r="Q2" s="11" t="s">
        <v>153</v>
      </c>
      <c r="R2" s="11" t="s">
        <v>154</v>
      </c>
      <c r="S2" s="11" t="s">
        <v>155</v>
      </c>
      <c r="T2" s="11" t="s">
        <v>156</v>
      </c>
      <c r="U2" s="11" t="s">
        <v>157</v>
      </c>
      <c r="V2" s="11" t="s">
        <v>158</v>
      </c>
      <c r="W2" s="11" t="s">
        <v>159</v>
      </c>
      <c r="X2" s="11" t="s">
        <v>160</v>
      </c>
    </row>
    <row r="3" customFormat="false" ht="15" hidden="false" customHeight="true" outlineLevel="0" collapsed="false">
      <c r="A3" s="21" t="s">
        <v>161</v>
      </c>
      <c r="B3" s="16" t="s">
        <v>162</v>
      </c>
      <c r="C3" s="21" t="n">
        <v>19130</v>
      </c>
      <c r="D3" s="14" t="n">
        <v>24700</v>
      </c>
      <c r="E3" s="14" t="n">
        <v>275615</v>
      </c>
      <c r="F3" s="16" t="s">
        <v>163</v>
      </c>
      <c r="G3" s="24" t="n">
        <v>700</v>
      </c>
      <c r="H3" s="24" t="n">
        <v>520</v>
      </c>
      <c r="I3" s="21" t="n">
        <v>1920</v>
      </c>
      <c r="J3" s="21" t="n">
        <v>1</v>
      </c>
      <c r="K3" s="14" t="n">
        <v>285300</v>
      </c>
      <c r="L3" s="14" t="n">
        <v>240000</v>
      </c>
      <c r="M3" s="14" t="n">
        <v>354000</v>
      </c>
      <c r="N3" s="14" t="n">
        <v>2600</v>
      </c>
      <c r="O3" s="16" t="s">
        <v>24</v>
      </c>
      <c r="P3" s="14" t="n">
        <v>0</v>
      </c>
      <c r="Q3" s="16" t="s">
        <v>164</v>
      </c>
      <c r="R3" s="14" t="n">
        <v>2500</v>
      </c>
      <c r="S3" s="14"/>
      <c r="T3" s="14"/>
      <c r="U3" s="21"/>
      <c r="V3" s="24"/>
      <c r="W3" s="14"/>
      <c r="X3" s="16" t="s">
        <v>165</v>
      </c>
    </row>
    <row r="4" customFormat="false" ht="15" hidden="false" customHeight="true" outlineLevel="0" collapsed="false">
      <c r="A4" s="21" t="s">
        <v>166</v>
      </c>
      <c r="B4" s="16" t="s">
        <v>167</v>
      </c>
      <c r="C4" s="21" t="n">
        <v>19130</v>
      </c>
      <c r="D4" s="14" t="n">
        <v>24700</v>
      </c>
      <c r="E4" s="14" t="n">
        <v>275615</v>
      </c>
      <c r="F4" s="16" t="s">
        <v>163</v>
      </c>
      <c r="G4" s="24" t="n">
        <v>700</v>
      </c>
      <c r="H4" s="24" t="n">
        <v>520</v>
      </c>
      <c r="I4" s="21" t="n">
        <v>1920</v>
      </c>
      <c r="J4" s="21" t="n">
        <v>1</v>
      </c>
      <c r="K4" s="14" t="n">
        <v>285300</v>
      </c>
      <c r="L4" s="14" t="n">
        <v>265000</v>
      </c>
      <c r="M4" s="14" t="n">
        <v>395000</v>
      </c>
      <c r="N4" s="14" t="n">
        <v>2600</v>
      </c>
      <c r="O4" s="16" t="s">
        <v>23</v>
      </c>
      <c r="P4" s="14" t="n">
        <v>8000</v>
      </c>
      <c r="Q4" s="16" t="s">
        <v>164</v>
      </c>
      <c r="R4" s="14" t="n">
        <v>2500</v>
      </c>
      <c r="S4" s="14"/>
      <c r="T4" s="14"/>
      <c r="U4" s="21"/>
      <c r="V4" s="24"/>
      <c r="W4" s="14"/>
      <c r="X4" s="16" t="s">
        <v>168</v>
      </c>
    </row>
    <row r="5" customFormat="false" ht="15" hidden="false" customHeight="true" outlineLevel="0" collapsed="false">
      <c r="A5" s="21" t="s">
        <v>169</v>
      </c>
      <c r="B5" s="16" t="s">
        <v>170</v>
      </c>
      <c r="C5" s="21" t="n">
        <v>19130</v>
      </c>
      <c r="D5" s="14" t="n">
        <v>24700</v>
      </c>
      <c r="E5" s="14" t="n">
        <v>275615</v>
      </c>
      <c r="F5" s="16" t="s">
        <v>163</v>
      </c>
      <c r="G5" s="24" t="n">
        <v>700</v>
      </c>
      <c r="H5" s="24" t="n">
        <v>520</v>
      </c>
      <c r="I5" s="21" t="n">
        <v>1920</v>
      </c>
      <c r="J5" s="21" t="n">
        <v>1</v>
      </c>
      <c r="K5" s="14" t="n">
        <v>285300</v>
      </c>
      <c r="L5" s="14" t="n">
        <v>265000</v>
      </c>
      <c r="M5" s="14" t="n">
        <v>395000</v>
      </c>
      <c r="N5" s="14" t="n">
        <v>2600</v>
      </c>
      <c r="O5" s="16" t="s">
        <v>23</v>
      </c>
      <c r="P5" s="14" t="n">
        <v>8000</v>
      </c>
      <c r="Q5" s="16" t="s">
        <v>171</v>
      </c>
      <c r="R5" s="14" t="n">
        <v>2500</v>
      </c>
      <c r="S5" s="14"/>
      <c r="T5" s="14"/>
      <c r="U5" s="21"/>
      <c r="V5" s="24"/>
      <c r="W5" s="14"/>
      <c r="X5" s="16" t="s">
        <v>172</v>
      </c>
    </row>
    <row r="6" customFormat="false" ht="15" hidden="false" customHeight="true" outlineLevel="0" collapsed="false">
      <c r="A6" s="21" t="s">
        <v>173</v>
      </c>
      <c r="B6" s="16" t="s">
        <v>174</v>
      </c>
      <c r="C6" s="21" t="n">
        <v>19130</v>
      </c>
      <c r="D6" s="14" t="n">
        <v>24700</v>
      </c>
      <c r="E6" s="14" t="n">
        <v>275615</v>
      </c>
      <c r="F6" s="16" t="s">
        <v>163</v>
      </c>
      <c r="G6" s="24" t="n">
        <v>700</v>
      </c>
      <c r="H6" s="24" t="n">
        <v>520</v>
      </c>
      <c r="I6" s="21" t="n">
        <v>1920</v>
      </c>
      <c r="J6" s="21" t="n">
        <v>1</v>
      </c>
      <c r="K6" s="14" t="n">
        <v>285300</v>
      </c>
      <c r="L6" s="14" t="n">
        <v>265000</v>
      </c>
      <c r="M6" s="14" t="n">
        <v>375000</v>
      </c>
      <c r="N6" s="14" t="n">
        <v>2600</v>
      </c>
      <c r="O6" s="16" t="s">
        <v>22</v>
      </c>
      <c r="P6" s="14" t="n">
        <v>0</v>
      </c>
      <c r="Q6" s="16" t="s">
        <v>164</v>
      </c>
      <c r="R6" s="14" t="n">
        <v>2500</v>
      </c>
      <c r="S6" s="14"/>
      <c r="T6" s="14"/>
      <c r="U6" s="21"/>
      <c r="V6" s="24"/>
      <c r="W6" s="14"/>
      <c r="X6" s="16" t="s">
        <v>172</v>
      </c>
    </row>
    <row r="7" customFormat="false" ht="15" hidden="false" customHeight="true" outlineLevel="0" collapsed="false">
      <c r="A7" s="21" t="s">
        <v>175</v>
      </c>
      <c r="B7" s="16" t="s">
        <v>176</v>
      </c>
      <c r="C7" s="21" t="n">
        <v>19130</v>
      </c>
      <c r="D7" s="14" t="n">
        <v>24700</v>
      </c>
      <c r="E7" s="14" t="n">
        <v>275615</v>
      </c>
      <c r="F7" s="16" t="s">
        <v>163</v>
      </c>
      <c r="G7" s="24" t="n">
        <v>700</v>
      </c>
      <c r="H7" s="24" t="n">
        <v>520</v>
      </c>
      <c r="I7" s="21" t="n">
        <v>1920</v>
      </c>
      <c r="J7" s="21" t="n">
        <v>1</v>
      </c>
      <c r="K7" s="14" t="n">
        <v>285300</v>
      </c>
      <c r="L7" s="14" t="n">
        <v>240000</v>
      </c>
      <c r="M7" s="14" t="n">
        <v>365000</v>
      </c>
      <c r="N7" s="14" t="n">
        <v>2600</v>
      </c>
      <c r="O7" s="16" t="s">
        <v>24</v>
      </c>
      <c r="P7" s="14" t="n">
        <v>0</v>
      </c>
      <c r="Q7" s="16" t="s">
        <v>164</v>
      </c>
      <c r="R7" s="14" t="n">
        <v>2500</v>
      </c>
      <c r="S7" s="14"/>
      <c r="T7" s="14"/>
      <c r="U7" s="21"/>
      <c r="V7" s="24"/>
      <c r="W7" s="14"/>
      <c r="X7" s="16" t="s">
        <v>172</v>
      </c>
    </row>
    <row r="8" customFormat="false" ht="15" hidden="false" customHeight="true" outlineLevel="0" collapsed="false">
      <c r="A8" s="21" t="s">
        <v>177</v>
      </c>
      <c r="B8" s="16" t="s">
        <v>178</v>
      </c>
      <c r="C8" s="21" t="n">
        <v>19130</v>
      </c>
      <c r="D8" s="14" t="n">
        <v>24700</v>
      </c>
      <c r="E8" s="14" t="n">
        <v>275615</v>
      </c>
      <c r="F8" s="16" t="s">
        <v>163</v>
      </c>
      <c r="G8" s="24" t="n">
        <v>700</v>
      </c>
      <c r="H8" s="24" t="n">
        <v>520</v>
      </c>
      <c r="I8" s="21" t="n">
        <v>1920</v>
      </c>
      <c r="J8" s="21" t="n">
        <v>1</v>
      </c>
      <c r="K8" s="14" t="n">
        <v>285300</v>
      </c>
      <c r="L8" s="14" t="n">
        <v>265000</v>
      </c>
      <c r="M8" s="14" t="n">
        <v>425000</v>
      </c>
      <c r="N8" s="14" t="n">
        <v>2600</v>
      </c>
      <c r="O8" s="16" t="s">
        <v>23</v>
      </c>
      <c r="P8" s="14" t="n">
        <v>20000</v>
      </c>
      <c r="Q8" s="16" t="s">
        <v>164</v>
      </c>
      <c r="R8" s="14" t="n">
        <v>2500</v>
      </c>
      <c r="S8" s="14"/>
      <c r="T8" s="14"/>
      <c r="U8" s="21"/>
      <c r="V8" s="24"/>
      <c r="W8" s="14"/>
      <c r="X8" s="16" t="s">
        <v>179</v>
      </c>
    </row>
    <row r="9" customFormat="false" ht="15" hidden="false" customHeight="true" outlineLevel="0" collapsed="false">
      <c r="A9" s="21" t="s">
        <v>180</v>
      </c>
      <c r="B9" s="16" t="s">
        <v>181</v>
      </c>
      <c r="C9" s="21" t="n">
        <v>19130</v>
      </c>
      <c r="D9" s="14" t="n">
        <v>24700</v>
      </c>
      <c r="E9" s="14" t="n">
        <v>275615</v>
      </c>
      <c r="F9" s="16" t="s">
        <v>163</v>
      </c>
      <c r="G9" s="24" t="n">
        <v>700</v>
      </c>
      <c r="H9" s="24" t="n">
        <v>520</v>
      </c>
      <c r="I9" s="21" t="n">
        <v>1920</v>
      </c>
      <c r="J9" s="21" t="n">
        <v>1</v>
      </c>
      <c r="K9" s="14" t="n">
        <v>285300</v>
      </c>
      <c r="L9" s="14" t="n">
        <v>265000</v>
      </c>
      <c r="M9" s="14" t="n">
        <v>395000</v>
      </c>
      <c r="N9" s="14" t="n">
        <v>2600</v>
      </c>
      <c r="O9" s="16" t="s">
        <v>24</v>
      </c>
      <c r="P9" s="14" t="n">
        <v>0</v>
      </c>
      <c r="Q9" s="16" t="s">
        <v>164</v>
      </c>
      <c r="R9" s="14" t="n">
        <v>2500</v>
      </c>
      <c r="S9" s="14"/>
      <c r="T9" s="14"/>
      <c r="U9" s="21"/>
      <c r="V9" s="24"/>
      <c r="W9" s="14"/>
      <c r="X9" s="16" t="s">
        <v>182</v>
      </c>
    </row>
    <row r="10" customFormat="false" ht="15" hidden="false" customHeight="true" outlineLevel="0" collapsed="false">
      <c r="A10" s="21"/>
      <c r="B10" s="16"/>
      <c r="C10" s="21"/>
      <c r="D10" s="14"/>
      <c r="E10" s="14"/>
      <c r="F10" s="16"/>
      <c r="G10" s="24"/>
      <c r="H10" s="24"/>
      <c r="I10" s="21"/>
      <c r="J10" s="21"/>
      <c r="K10" s="14"/>
      <c r="L10" s="14"/>
      <c r="M10" s="14"/>
      <c r="N10" s="14"/>
      <c r="O10" s="16"/>
      <c r="P10" s="14"/>
      <c r="Q10" s="16"/>
      <c r="R10" s="14"/>
      <c r="S10" s="14"/>
      <c r="T10" s="14"/>
      <c r="U10" s="21"/>
      <c r="V10" s="24"/>
      <c r="W10" s="14"/>
      <c r="X10" s="16"/>
    </row>
    <row r="11" customFormat="false" ht="15" hidden="false" customHeight="true" outlineLevel="0" collapsed="false">
      <c r="A11" s="21"/>
      <c r="B11" s="16"/>
      <c r="C11" s="21"/>
      <c r="D11" s="14"/>
      <c r="E11" s="14"/>
      <c r="F11" s="16"/>
      <c r="G11" s="24"/>
      <c r="H11" s="24"/>
      <c r="I11" s="21"/>
      <c r="J11" s="21"/>
      <c r="K11" s="14"/>
      <c r="L11" s="14"/>
      <c r="M11" s="14"/>
      <c r="N11" s="14"/>
      <c r="O11" s="16"/>
      <c r="P11" s="14"/>
      <c r="Q11" s="16"/>
      <c r="R11" s="14"/>
      <c r="S11" s="14"/>
      <c r="T11" s="14"/>
      <c r="U11" s="21"/>
      <c r="V11" s="24"/>
      <c r="W11" s="14"/>
      <c r="X11" s="16"/>
    </row>
    <row r="12" customFormat="false" ht="15" hidden="false" customHeight="true" outlineLevel="0" collapsed="false">
      <c r="A12" s="21"/>
      <c r="B12" s="16"/>
      <c r="C12" s="21"/>
      <c r="D12" s="14"/>
      <c r="E12" s="14"/>
      <c r="F12" s="16"/>
      <c r="G12" s="24"/>
      <c r="H12" s="24"/>
      <c r="I12" s="21"/>
      <c r="J12" s="21"/>
      <c r="K12" s="14"/>
      <c r="L12" s="14"/>
      <c r="M12" s="14"/>
      <c r="N12" s="14"/>
      <c r="O12" s="16"/>
      <c r="P12" s="14"/>
      <c r="Q12" s="16"/>
      <c r="R12" s="14"/>
      <c r="S12" s="14"/>
      <c r="T12" s="14"/>
      <c r="U12" s="21"/>
      <c r="V12" s="24"/>
      <c r="W12" s="14"/>
      <c r="X12" s="16"/>
    </row>
    <row r="13" customFormat="false" ht="15" hidden="false" customHeight="true" outlineLevel="0" collapsed="false">
      <c r="A13" s="21"/>
      <c r="B13" s="16"/>
      <c r="C13" s="21"/>
      <c r="D13" s="14"/>
      <c r="E13" s="14"/>
      <c r="F13" s="16"/>
      <c r="G13" s="24"/>
      <c r="H13" s="24"/>
      <c r="I13" s="21"/>
      <c r="J13" s="21"/>
      <c r="K13" s="14"/>
      <c r="L13" s="14"/>
      <c r="M13" s="14"/>
      <c r="N13" s="14"/>
      <c r="O13" s="16"/>
      <c r="P13" s="14"/>
      <c r="Q13" s="16"/>
      <c r="R13" s="14"/>
      <c r="S13" s="14"/>
      <c r="T13" s="14"/>
      <c r="U13" s="21"/>
      <c r="V13" s="24"/>
      <c r="W13" s="14"/>
      <c r="X13" s="16"/>
    </row>
    <row r="14" customFormat="false" ht="15" hidden="false" customHeight="true" outlineLevel="0" collapsed="false">
      <c r="A14" s="21"/>
      <c r="B14" s="16"/>
      <c r="C14" s="21"/>
      <c r="D14" s="14"/>
      <c r="E14" s="14"/>
      <c r="F14" s="16"/>
      <c r="G14" s="24"/>
      <c r="H14" s="24"/>
      <c r="I14" s="21"/>
      <c r="J14" s="21"/>
      <c r="K14" s="14"/>
      <c r="L14" s="14"/>
      <c r="M14" s="14"/>
      <c r="N14" s="14"/>
      <c r="O14" s="16"/>
      <c r="P14" s="14"/>
      <c r="Q14" s="16"/>
      <c r="R14" s="14"/>
      <c r="S14" s="14"/>
      <c r="T14" s="14"/>
      <c r="U14" s="21"/>
      <c r="V14" s="24"/>
      <c r="W14" s="14"/>
      <c r="X14" s="16"/>
    </row>
    <row r="15" customFormat="false" ht="15" hidden="false" customHeight="true" outlineLevel="0" collapsed="false">
      <c r="A15" s="21"/>
      <c r="B15" s="16"/>
      <c r="C15" s="21"/>
      <c r="D15" s="14"/>
      <c r="E15" s="14"/>
      <c r="F15" s="16"/>
      <c r="G15" s="24"/>
      <c r="H15" s="24"/>
      <c r="I15" s="21"/>
      <c r="J15" s="21"/>
      <c r="K15" s="14"/>
      <c r="L15" s="14"/>
      <c r="M15" s="14"/>
      <c r="N15" s="14"/>
      <c r="O15" s="16"/>
      <c r="P15" s="14"/>
      <c r="Q15" s="16"/>
      <c r="R15" s="14"/>
      <c r="S15" s="14"/>
      <c r="T15" s="14"/>
      <c r="U15" s="21"/>
      <c r="V15" s="24"/>
      <c r="W15" s="14"/>
      <c r="X15" s="16"/>
    </row>
    <row r="16" customFormat="false" ht="15" hidden="false" customHeight="true" outlineLevel="0" collapsed="false">
      <c r="A16" s="21"/>
      <c r="B16" s="16"/>
      <c r="C16" s="21"/>
      <c r="D16" s="14"/>
      <c r="E16" s="14"/>
      <c r="F16" s="16"/>
      <c r="G16" s="24"/>
      <c r="H16" s="24"/>
      <c r="I16" s="21"/>
      <c r="J16" s="21"/>
      <c r="K16" s="14"/>
      <c r="L16" s="14"/>
      <c r="M16" s="14"/>
      <c r="N16" s="14"/>
      <c r="O16" s="16"/>
      <c r="P16" s="14"/>
      <c r="Q16" s="16"/>
      <c r="R16" s="14"/>
      <c r="S16" s="14"/>
      <c r="T16" s="14"/>
      <c r="U16" s="21"/>
      <c r="V16" s="24"/>
      <c r="W16" s="14"/>
      <c r="X16" s="16"/>
    </row>
    <row r="17" customFormat="false" ht="15" hidden="false" customHeight="true" outlineLevel="0" collapsed="false">
      <c r="A17" s="21"/>
      <c r="B17" s="16"/>
      <c r="C17" s="21"/>
      <c r="D17" s="14"/>
      <c r="E17" s="14"/>
      <c r="F17" s="16"/>
      <c r="G17" s="24"/>
      <c r="H17" s="24"/>
      <c r="I17" s="21"/>
      <c r="J17" s="21"/>
      <c r="K17" s="14"/>
      <c r="L17" s="14"/>
      <c r="M17" s="14"/>
      <c r="N17" s="14"/>
      <c r="O17" s="16"/>
      <c r="P17" s="14"/>
      <c r="Q17" s="16"/>
      <c r="R17" s="14"/>
      <c r="S17" s="14"/>
      <c r="T17" s="14"/>
      <c r="U17" s="21"/>
      <c r="V17" s="24"/>
      <c r="W17" s="14"/>
      <c r="X17" s="16"/>
    </row>
    <row r="18" customFormat="false" ht="15" hidden="false" customHeight="true" outlineLevel="0" collapsed="false">
      <c r="A18" s="21"/>
      <c r="B18" s="16"/>
      <c r="C18" s="21"/>
      <c r="D18" s="14"/>
      <c r="E18" s="14"/>
      <c r="F18" s="16"/>
      <c r="G18" s="24"/>
      <c r="H18" s="24"/>
      <c r="I18" s="21"/>
      <c r="J18" s="21"/>
      <c r="K18" s="14"/>
      <c r="L18" s="14"/>
      <c r="M18" s="14"/>
      <c r="N18" s="14"/>
      <c r="O18" s="16"/>
      <c r="P18" s="14"/>
      <c r="Q18" s="16"/>
      <c r="R18" s="14"/>
      <c r="S18" s="14"/>
      <c r="T18" s="14"/>
      <c r="U18" s="21"/>
      <c r="V18" s="24"/>
      <c r="W18" s="14"/>
      <c r="X18" s="16"/>
    </row>
    <row r="19" customFormat="false" ht="15" hidden="false" customHeight="true" outlineLevel="0" collapsed="false">
      <c r="A19" s="21"/>
      <c r="B19" s="16"/>
      <c r="C19" s="21"/>
      <c r="D19" s="14"/>
      <c r="E19" s="14"/>
      <c r="F19" s="16"/>
      <c r="G19" s="24"/>
      <c r="H19" s="24"/>
      <c r="I19" s="21"/>
      <c r="J19" s="21"/>
      <c r="K19" s="14"/>
      <c r="L19" s="14"/>
      <c r="M19" s="14"/>
      <c r="N19" s="14"/>
      <c r="O19" s="16"/>
      <c r="P19" s="14"/>
      <c r="Q19" s="16"/>
      <c r="R19" s="14"/>
      <c r="S19" s="14"/>
      <c r="T19" s="14"/>
      <c r="U19" s="21"/>
      <c r="V19" s="24"/>
      <c r="W19" s="14"/>
      <c r="X19" s="16"/>
    </row>
    <row r="20" customFormat="false" ht="15" hidden="false" customHeight="true" outlineLevel="0" collapsed="false">
      <c r="A20" s="21"/>
      <c r="B20" s="16"/>
      <c r="C20" s="21"/>
      <c r="D20" s="14"/>
      <c r="E20" s="14"/>
      <c r="F20" s="16"/>
      <c r="G20" s="24"/>
      <c r="H20" s="24"/>
      <c r="I20" s="21"/>
      <c r="J20" s="21"/>
      <c r="K20" s="14"/>
      <c r="L20" s="14"/>
      <c r="M20" s="14"/>
      <c r="N20" s="14"/>
      <c r="O20" s="16"/>
      <c r="P20" s="14"/>
      <c r="Q20" s="16"/>
      <c r="R20" s="14"/>
      <c r="S20" s="14"/>
      <c r="T20" s="14"/>
      <c r="U20" s="21"/>
      <c r="V20" s="24"/>
      <c r="W20" s="14"/>
      <c r="X20" s="16"/>
    </row>
    <row r="21" customFormat="false" ht="15" hidden="false" customHeight="true" outlineLevel="0" collapsed="false">
      <c r="A21" s="21"/>
      <c r="B21" s="16"/>
      <c r="C21" s="21"/>
      <c r="D21" s="14"/>
      <c r="E21" s="14"/>
      <c r="F21" s="16"/>
      <c r="G21" s="24"/>
      <c r="H21" s="24"/>
      <c r="I21" s="21"/>
      <c r="J21" s="21"/>
      <c r="K21" s="14"/>
      <c r="L21" s="14"/>
      <c r="M21" s="14"/>
      <c r="N21" s="14"/>
      <c r="O21" s="16"/>
      <c r="P21" s="14"/>
      <c r="Q21" s="16"/>
      <c r="R21" s="14"/>
      <c r="S21" s="14"/>
      <c r="T21" s="14"/>
      <c r="U21" s="21"/>
      <c r="V21" s="24"/>
      <c r="W21" s="14"/>
      <c r="X21" s="16"/>
    </row>
    <row r="22" customFormat="false" ht="15" hidden="false" customHeight="true" outlineLevel="0" collapsed="false">
      <c r="A22" s="21"/>
      <c r="B22" s="16"/>
      <c r="C22" s="21"/>
      <c r="D22" s="14"/>
      <c r="E22" s="14"/>
      <c r="F22" s="16"/>
      <c r="G22" s="24"/>
      <c r="H22" s="24"/>
      <c r="I22" s="21"/>
      <c r="J22" s="21"/>
      <c r="K22" s="14"/>
      <c r="L22" s="14"/>
      <c r="M22" s="14"/>
      <c r="N22" s="14"/>
      <c r="O22" s="16"/>
      <c r="P22" s="14"/>
      <c r="Q22" s="16"/>
      <c r="R22" s="14"/>
      <c r="S22" s="14"/>
      <c r="T22" s="14"/>
      <c r="U22" s="21"/>
      <c r="V22" s="24"/>
      <c r="W22" s="14"/>
      <c r="X22" s="16"/>
    </row>
    <row r="23" customFormat="false" ht="15" hidden="false" customHeight="true" outlineLevel="0" collapsed="false">
      <c r="A23" s="21"/>
      <c r="B23" s="16"/>
      <c r="C23" s="21"/>
      <c r="D23" s="14"/>
      <c r="E23" s="14"/>
      <c r="F23" s="16"/>
      <c r="G23" s="24"/>
      <c r="H23" s="24"/>
      <c r="I23" s="21"/>
      <c r="J23" s="21"/>
      <c r="K23" s="14"/>
      <c r="L23" s="14"/>
      <c r="M23" s="14"/>
      <c r="N23" s="14"/>
      <c r="O23" s="16"/>
      <c r="P23" s="14"/>
      <c r="Q23" s="16"/>
      <c r="R23" s="14"/>
      <c r="S23" s="14"/>
      <c r="T23" s="14"/>
      <c r="U23" s="21"/>
      <c r="V23" s="24"/>
      <c r="W23" s="14"/>
      <c r="X23" s="16"/>
    </row>
    <row r="24" customFormat="false" ht="15" hidden="false" customHeight="true" outlineLevel="0" collapsed="false">
      <c r="A24" s="21"/>
      <c r="B24" s="16"/>
      <c r="C24" s="21"/>
      <c r="D24" s="14"/>
      <c r="E24" s="14"/>
      <c r="F24" s="16"/>
      <c r="G24" s="24"/>
      <c r="H24" s="24"/>
      <c r="I24" s="21"/>
      <c r="J24" s="21"/>
      <c r="K24" s="14"/>
      <c r="L24" s="14"/>
      <c r="M24" s="14"/>
      <c r="N24" s="14"/>
      <c r="O24" s="16"/>
      <c r="P24" s="14"/>
      <c r="Q24" s="16"/>
      <c r="R24" s="14"/>
      <c r="S24" s="14"/>
      <c r="T24" s="14"/>
      <c r="U24" s="21"/>
      <c r="V24" s="24"/>
      <c r="W24" s="14"/>
      <c r="X24" s="16"/>
    </row>
    <row r="25" customFormat="false" ht="15" hidden="false" customHeight="true" outlineLevel="0" collapsed="false">
      <c r="A25" s="21"/>
      <c r="B25" s="16"/>
      <c r="C25" s="21"/>
      <c r="D25" s="14"/>
      <c r="E25" s="14"/>
      <c r="F25" s="16"/>
      <c r="G25" s="24"/>
      <c r="H25" s="24"/>
      <c r="I25" s="21"/>
      <c r="J25" s="21"/>
      <c r="K25" s="14"/>
      <c r="L25" s="14"/>
      <c r="M25" s="14"/>
      <c r="N25" s="14"/>
      <c r="O25" s="16"/>
      <c r="P25" s="14"/>
      <c r="Q25" s="16"/>
      <c r="R25" s="14"/>
      <c r="S25" s="14"/>
      <c r="T25" s="14"/>
      <c r="U25" s="21"/>
      <c r="V25" s="24"/>
      <c r="W25" s="14"/>
      <c r="X25" s="16"/>
    </row>
    <row r="26" customFormat="false" ht="15" hidden="false" customHeight="true" outlineLevel="0" collapsed="false">
      <c r="A26" s="21"/>
      <c r="B26" s="16"/>
      <c r="C26" s="21"/>
      <c r="D26" s="14"/>
      <c r="E26" s="14"/>
      <c r="F26" s="16"/>
      <c r="G26" s="24"/>
      <c r="H26" s="24"/>
      <c r="I26" s="21"/>
      <c r="J26" s="21"/>
      <c r="K26" s="14"/>
      <c r="L26" s="14"/>
      <c r="M26" s="14"/>
      <c r="N26" s="14"/>
      <c r="O26" s="16"/>
      <c r="P26" s="14"/>
      <c r="Q26" s="16"/>
      <c r="R26" s="14"/>
      <c r="S26" s="14"/>
      <c r="T26" s="14"/>
      <c r="U26" s="21"/>
      <c r="V26" s="24"/>
      <c r="W26" s="14"/>
      <c r="X26" s="16"/>
    </row>
    <row r="27" customFormat="false" ht="15" hidden="false" customHeight="true" outlineLevel="0" collapsed="false">
      <c r="A27" s="21"/>
      <c r="B27" s="16"/>
      <c r="C27" s="21"/>
      <c r="D27" s="14"/>
      <c r="E27" s="14"/>
      <c r="F27" s="16"/>
      <c r="G27" s="24"/>
      <c r="H27" s="24"/>
      <c r="I27" s="21"/>
      <c r="J27" s="21"/>
      <c r="K27" s="14"/>
      <c r="L27" s="14"/>
      <c r="M27" s="14"/>
      <c r="N27" s="14"/>
      <c r="O27" s="16"/>
      <c r="P27" s="14"/>
      <c r="Q27" s="16"/>
      <c r="R27" s="14"/>
      <c r="S27" s="14"/>
      <c r="T27" s="14"/>
      <c r="U27" s="21"/>
      <c r="V27" s="24"/>
      <c r="W27" s="14"/>
      <c r="X27" s="16"/>
    </row>
    <row r="28" customFormat="false" ht="15" hidden="false" customHeight="true" outlineLevel="0" collapsed="false">
      <c r="A28" s="21"/>
      <c r="B28" s="16"/>
      <c r="C28" s="21"/>
      <c r="D28" s="14"/>
      <c r="E28" s="14"/>
      <c r="F28" s="16"/>
      <c r="G28" s="24"/>
      <c r="H28" s="24"/>
      <c r="I28" s="21"/>
      <c r="J28" s="21"/>
      <c r="K28" s="14"/>
      <c r="L28" s="14"/>
      <c r="M28" s="14"/>
      <c r="N28" s="14"/>
      <c r="O28" s="16"/>
      <c r="P28" s="14"/>
      <c r="Q28" s="16"/>
      <c r="R28" s="14"/>
      <c r="S28" s="14"/>
      <c r="T28" s="14"/>
      <c r="U28" s="21"/>
      <c r="V28" s="24"/>
      <c r="W28" s="14"/>
      <c r="X28" s="16"/>
    </row>
    <row r="29" customFormat="false" ht="15" hidden="false" customHeight="true" outlineLevel="0" collapsed="false">
      <c r="A29" s="21"/>
      <c r="B29" s="16"/>
      <c r="C29" s="21"/>
      <c r="D29" s="14"/>
      <c r="E29" s="14"/>
      <c r="F29" s="16"/>
      <c r="G29" s="24"/>
      <c r="H29" s="24"/>
      <c r="I29" s="21"/>
      <c r="J29" s="21"/>
      <c r="K29" s="14"/>
      <c r="L29" s="14"/>
      <c r="M29" s="14"/>
      <c r="N29" s="14"/>
      <c r="O29" s="16"/>
      <c r="P29" s="14"/>
      <c r="Q29" s="16"/>
      <c r="R29" s="14"/>
      <c r="S29" s="14"/>
      <c r="T29" s="14"/>
      <c r="U29" s="21"/>
      <c r="V29" s="24"/>
      <c r="W29" s="14"/>
      <c r="X29" s="16"/>
    </row>
    <row r="30" customFormat="false" ht="15" hidden="false" customHeight="true" outlineLevel="0" collapsed="false">
      <c r="A30" s="21"/>
      <c r="B30" s="16"/>
      <c r="C30" s="21"/>
      <c r="D30" s="14"/>
      <c r="E30" s="14"/>
      <c r="F30" s="16"/>
      <c r="G30" s="24"/>
      <c r="H30" s="24"/>
      <c r="I30" s="21"/>
      <c r="J30" s="21"/>
      <c r="K30" s="14"/>
      <c r="L30" s="14"/>
      <c r="M30" s="14"/>
      <c r="N30" s="14"/>
      <c r="O30" s="16"/>
      <c r="P30" s="14"/>
      <c r="Q30" s="16"/>
      <c r="R30" s="14"/>
      <c r="S30" s="14"/>
      <c r="T30" s="14"/>
      <c r="U30" s="21"/>
      <c r="V30" s="24"/>
      <c r="W30" s="14"/>
      <c r="X30" s="16"/>
    </row>
    <row r="31" customFormat="false" ht="15" hidden="false" customHeight="true" outlineLevel="0" collapsed="false">
      <c r="A31" s="21"/>
      <c r="B31" s="16"/>
      <c r="C31" s="21"/>
      <c r="D31" s="14"/>
      <c r="E31" s="14"/>
      <c r="F31" s="16"/>
      <c r="G31" s="24"/>
      <c r="H31" s="24"/>
      <c r="I31" s="21"/>
      <c r="J31" s="21"/>
      <c r="K31" s="14"/>
      <c r="L31" s="14"/>
      <c r="M31" s="14"/>
      <c r="N31" s="14"/>
      <c r="O31" s="16"/>
      <c r="P31" s="14"/>
      <c r="Q31" s="16"/>
      <c r="R31" s="14"/>
      <c r="S31" s="14"/>
      <c r="T31" s="14"/>
      <c r="U31" s="21"/>
      <c r="V31" s="24"/>
      <c r="W31" s="14"/>
      <c r="X31" s="16"/>
    </row>
    <row r="32" customFormat="false" ht="15" hidden="false" customHeight="true" outlineLevel="0" collapsed="false">
      <c r="A32" s="21"/>
      <c r="B32" s="16"/>
      <c r="C32" s="21"/>
      <c r="D32" s="14"/>
      <c r="E32" s="14"/>
      <c r="F32" s="16"/>
      <c r="G32" s="24"/>
      <c r="H32" s="24"/>
      <c r="I32" s="21"/>
      <c r="J32" s="21"/>
      <c r="K32" s="14"/>
      <c r="L32" s="14"/>
      <c r="M32" s="14"/>
      <c r="N32" s="14"/>
      <c r="O32" s="16"/>
      <c r="P32" s="14"/>
      <c r="Q32" s="16"/>
      <c r="R32" s="14"/>
      <c r="S32" s="14"/>
      <c r="T32" s="14"/>
      <c r="U32" s="21"/>
      <c r="V32" s="24"/>
      <c r="W32" s="14"/>
      <c r="X32" s="16"/>
    </row>
    <row r="33" customFormat="false" ht="15" hidden="false" customHeight="true" outlineLevel="0" collapsed="false">
      <c r="A33" s="21"/>
      <c r="B33" s="16"/>
      <c r="C33" s="21"/>
      <c r="D33" s="14"/>
      <c r="E33" s="14"/>
      <c r="F33" s="16"/>
      <c r="G33" s="24"/>
      <c r="H33" s="24"/>
      <c r="I33" s="21"/>
      <c r="J33" s="21"/>
      <c r="K33" s="14"/>
      <c r="L33" s="14"/>
      <c r="M33" s="14"/>
      <c r="N33" s="14"/>
      <c r="O33" s="16"/>
      <c r="P33" s="14"/>
      <c r="Q33" s="16"/>
      <c r="R33" s="14"/>
      <c r="S33" s="14"/>
      <c r="T33" s="14"/>
      <c r="U33" s="21"/>
      <c r="V33" s="24"/>
      <c r="W33" s="14"/>
      <c r="X33" s="16"/>
    </row>
    <row r="34" customFormat="false" ht="15" hidden="false" customHeight="true" outlineLevel="0" collapsed="false">
      <c r="A34" s="21"/>
      <c r="B34" s="16"/>
      <c r="C34" s="21"/>
      <c r="D34" s="14"/>
      <c r="E34" s="14"/>
      <c r="F34" s="16"/>
      <c r="G34" s="24"/>
      <c r="H34" s="24"/>
      <c r="I34" s="21"/>
      <c r="J34" s="21"/>
      <c r="K34" s="14"/>
      <c r="L34" s="14"/>
      <c r="M34" s="14"/>
      <c r="N34" s="14"/>
      <c r="O34" s="16"/>
      <c r="P34" s="14"/>
      <c r="Q34" s="16"/>
      <c r="R34" s="14"/>
      <c r="S34" s="14"/>
      <c r="T34" s="14"/>
      <c r="U34" s="21"/>
      <c r="V34" s="24"/>
      <c r="W34" s="14"/>
      <c r="X34" s="16"/>
    </row>
    <row r="35" customFormat="false" ht="15" hidden="false" customHeight="true" outlineLevel="0" collapsed="false">
      <c r="A35" s="21"/>
      <c r="B35" s="16"/>
      <c r="C35" s="21"/>
      <c r="D35" s="14"/>
      <c r="E35" s="14"/>
      <c r="F35" s="16"/>
      <c r="G35" s="24"/>
      <c r="H35" s="24"/>
      <c r="I35" s="21"/>
      <c r="J35" s="21"/>
      <c r="K35" s="14"/>
      <c r="L35" s="14"/>
      <c r="M35" s="14"/>
      <c r="N35" s="14"/>
      <c r="O35" s="16"/>
      <c r="P35" s="14"/>
      <c r="Q35" s="16"/>
      <c r="R35" s="14"/>
      <c r="S35" s="14"/>
      <c r="T35" s="14"/>
      <c r="U35" s="21"/>
      <c r="V35" s="24"/>
      <c r="W35" s="14"/>
      <c r="X35" s="16"/>
    </row>
    <row r="36" customFormat="false" ht="15" hidden="false" customHeight="true" outlineLevel="0" collapsed="false">
      <c r="A36" s="21"/>
      <c r="B36" s="16"/>
      <c r="C36" s="21"/>
      <c r="D36" s="14"/>
      <c r="E36" s="14"/>
      <c r="F36" s="16"/>
      <c r="G36" s="24"/>
      <c r="H36" s="24"/>
      <c r="I36" s="21"/>
      <c r="J36" s="21"/>
      <c r="K36" s="14"/>
      <c r="L36" s="14"/>
      <c r="M36" s="14"/>
      <c r="N36" s="14"/>
      <c r="O36" s="16"/>
      <c r="P36" s="14"/>
      <c r="Q36" s="16"/>
      <c r="R36" s="14"/>
      <c r="S36" s="14"/>
      <c r="T36" s="14"/>
      <c r="U36" s="21"/>
      <c r="V36" s="24"/>
      <c r="W36" s="14"/>
      <c r="X36" s="16"/>
    </row>
    <row r="37" customFormat="false" ht="15" hidden="false" customHeight="true" outlineLevel="0" collapsed="false">
      <c r="A37" s="21"/>
      <c r="B37" s="16"/>
      <c r="C37" s="21"/>
      <c r="D37" s="14"/>
      <c r="E37" s="14"/>
      <c r="F37" s="16"/>
      <c r="G37" s="24"/>
      <c r="H37" s="24"/>
      <c r="I37" s="21"/>
      <c r="J37" s="21"/>
      <c r="K37" s="14"/>
      <c r="L37" s="14"/>
      <c r="M37" s="14"/>
      <c r="N37" s="14"/>
      <c r="O37" s="16"/>
      <c r="P37" s="14"/>
      <c r="Q37" s="16"/>
      <c r="R37" s="14"/>
      <c r="S37" s="14"/>
      <c r="T37" s="14"/>
      <c r="U37" s="21"/>
      <c r="V37" s="24"/>
      <c r="W37" s="14"/>
      <c r="X37" s="16"/>
    </row>
    <row r="38" customFormat="false" ht="15" hidden="false" customHeight="true" outlineLevel="0" collapsed="false">
      <c r="A38" s="21"/>
      <c r="B38" s="16"/>
      <c r="C38" s="21"/>
      <c r="D38" s="14"/>
      <c r="E38" s="14"/>
      <c r="F38" s="16"/>
      <c r="G38" s="24"/>
      <c r="H38" s="24"/>
      <c r="I38" s="21"/>
      <c r="J38" s="21"/>
      <c r="K38" s="14"/>
      <c r="L38" s="14"/>
      <c r="M38" s="14"/>
      <c r="N38" s="14"/>
      <c r="O38" s="16"/>
      <c r="P38" s="14"/>
      <c r="Q38" s="16"/>
      <c r="R38" s="14"/>
      <c r="S38" s="14"/>
      <c r="T38" s="14"/>
      <c r="U38" s="21"/>
      <c r="V38" s="24"/>
      <c r="W38" s="14"/>
      <c r="X38" s="16"/>
    </row>
    <row r="39" customFormat="false" ht="15" hidden="false" customHeight="true" outlineLevel="0" collapsed="false">
      <c r="A39" s="21"/>
      <c r="B39" s="16"/>
      <c r="C39" s="21"/>
      <c r="D39" s="14"/>
      <c r="E39" s="14"/>
      <c r="F39" s="16"/>
      <c r="G39" s="24"/>
      <c r="H39" s="24"/>
      <c r="I39" s="21"/>
      <c r="J39" s="21"/>
      <c r="K39" s="14"/>
      <c r="L39" s="14"/>
      <c r="M39" s="14"/>
      <c r="N39" s="14"/>
      <c r="O39" s="16"/>
      <c r="P39" s="14"/>
      <c r="Q39" s="16"/>
      <c r="R39" s="14"/>
      <c r="S39" s="14"/>
      <c r="T39" s="14"/>
      <c r="U39" s="21"/>
      <c r="V39" s="24"/>
      <c r="W39" s="14"/>
      <c r="X39" s="16"/>
    </row>
    <row r="40" customFormat="false" ht="15" hidden="false" customHeight="true" outlineLevel="0" collapsed="false">
      <c r="A40" s="21"/>
      <c r="B40" s="16"/>
      <c r="C40" s="21"/>
      <c r="D40" s="14"/>
      <c r="E40" s="14"/>
      <c r="F40" s="16"/>
      <c r="G40" s="24"/>
      <c r="H40" s="24"/>
      <c r="I40" s="21"/>
      <c r="J40" s="21"/>
      <c r="K40" s="14"/>
      <c r="L40" s="14"/>
      <c r="M40" s="14"/>
      <c r="N40" s="14"/>
      <c r="O40" s="16"/>
      <c r="P40" s="14"/>
      <c r="Q40" s="16"/>
      <c r="R40" s="14"/>
      <c r="S40" s="14"/>
      <c r="T40" s="14"/>
      <c r="U40" s="21"/>
      <c r="V40" s="24"/>
      <c r="W40" s="14"/>
      <c r="X40" s="16"/>
    </row>
    <row r="41" customFormat="false" ht="15" hidden="false" customHeight="true" outlineLevel="0" collapsed="false">
      <c r="A41" s="21"/>
      <c r="B41" s="16"/>
      <c r="C41" s="21"/>
      <c r="D41" s="14"/>
      <c r="E41" s="14"/>
      <c r="F41" s="16"/>
      <c r="G41" s="24"/>
      <c r="H41" s="24"/>
      <c r="I41" s="21"/>
      <c r="J41" s="21"/>
      <c r="K41" s="14"/>
      <c r="L41" s="14"/>
      <c r="M41" s="14"/>
      <c r="N41" s="14"/>
      <c r="O41" s="16"/>
      <c r="P41" s="14"/>
      <c r="Q41" s="16"/>
      <c r="R41" s="14"/>
      <c r="S41" s="14"/>
      <c r="T41" s="14"/>
      <c r="U41" s="21"/>
      <c r="V41" s="24"/>
      <c r="W41" s="14"/>
      <c r="X41" s="16"/>
    </row>
    <row r="42" customFormat="false" ht="15" hidden="false" customHeight="true" outlineLevel="0" collapsed="false">
      <c r="A42" s="21"/>
      <c r="B42" s="16"/>
      <c r="C42" s="21"/>
      <c r="D42" s="14"/>
      <c r="E42" s="14"/>
      <c r="F42" s="16"/>
      <c r="G42" s="24"/>
      <c r="H42" s="24"/>
      <c r="I42" s="21"/>
      <c r="J42" s="21"/>
      <c r="K42" s="14"/>
      <c r="L42" s="14"/>
      <c r="M42" s="14"/>
      <c r="N42" s="14"/>
      <c r="O42" s="16"/>
      <c r="P42" s="14"/>
      <c r="Q42" s="16"/>
      <c r="R42" s="14"/>
      <c r="S42" s="14"/>
      <c r="T42" s="14"/>
      <c r="U42" s="21"/>
      <c r="V42" s="24"/>
      <c r="W42" s="14"/>
      <c r="X42" s="16"/>
    </row>
  </sheetData>
  <dataValidations count="3">
    <dataValidation allowBlank="true" errorStyle="stop" operator="between" showDropDown="false" showErrorMessage="false" showInputMessage="false" sqref="O3:O42" type="list">
      <formula1>"Light,Medium,Heavy,Gut"</formula1>
      <formula2>0</formula2>
    </dataValidation>
    <dataValidation allowBlank="true" errorStyle="stop" operator="between" showDropDown="false" showErrorMessage="false" showInputMessage="false" sqref="Q3:Q42" type="list">
      <formula1>"Vacant,Occupied,Unknown"</formula1>
      <formula2>0</formula2>
    </dataValidation>
    <dataValidation allowBlank="true" errorStyle="stop" operator="between" showDropDown="false" showErrorMessage="false" showInputMessage="false" sqref="F3:F42" type="list">
      <formula1>"1st,2nd,Unknown"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4" min="3" style="1" width="13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45"/>
    <col collapsed="false" customWidth="true" hidden="false" outlineLevel="0" max="40" min="11" style="1" width="13"/>
  </cols>
  <sheetData>
    <row r="1" customFormat="false" ht="15" hidden="false" customHeight="true" outlineLevel="0" collapsed="false">
      <c r="A1" s="12" t="s">
        <v>183</v>
      </c>
      <c r="B1" s="13"/>
      <c r="C1" s="25" t="s">
        <v>184</v>
      </c>
      <c r="D1" s="26"/>
      <c r="E1" s="26"/>
      <c r="F1" s="26"/>
      <c r="G1" s="26"/>
      <c r="H1" s="26"/>
      <c r="I1" s="26"/>
      <c r="J1" s="26"/>
      <c r="K1" s="12" t="s">
        <v>185</v>
      </c>
      <c r="L1" s="13"/>
      <c r="M1" s="13"/>
      <c r="N1" s="13"/>
      <c r="O1" s="12" t="s">
        <v>186</v>
      </c>
      <c r="P1" s="13"/>
      <c r="Q1" s="13"/>
      <c r="R1" s="12" t="s">
        <v>187</v>
      </c>
      <c r="S1" s="13"/>
      <c r="T1" s="13"/>
      <c r="U1" s="13"/>
      <c r="V1" s="13"/>
      <c r="W1" s="13"/>
      <c r="X1" s="13"/>
      <c r="Y1" s="13"/>
      <c r="Z1" s="12" t="s">
        <v>188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2" t="s">
        <v>189</v>
      </c>
      <c r="AL1" s="12" t="s">
        <v>190</v>
      </c>
      <c r="AM1" s="13"/>
      <c r="AN1" s="13"/>
    </row>
    <row r="2" customFormat="false" ht="45" hidden="false" customHeight="true" outlineLevel="0" collapsed="false">
      <c r="A2" s="11" t="s">
        <v>137</v>
      </c>
      <c r="B2" s="11" t="s">
        <v>138</v>
      </c>
      <c r="C2" s="11" t="s">
        <v>191</v>
      </c>
      <c r="D2" s="11" t="s">
        <v>192</v>
      </c>
      <c r="E2" s="11" t="s">
        <v>193</v>
      </c>
      <c r="F2" s="11" t="s">
        <v>194</v>
      </c>
      <c r="G2" s="11" t="s">
        <v>195</v>
      </c>
      <c r="H2" s="11" t="s">
        <v>196</v>
      </c>
      <c r="I2" s="11" t="s">
        <v>197</v>
      </c>
      <c r="J2" s="11" t="s">
        <v>198</v>
      </c>
      <c r="K2" s="11" t="s">
        <v>199</v>
      </c>
      <c r="L2" s="11" t="s">
        <v>200</v>
      </c>
      <c r="M2" s="11" t="s">
        <v>201</v>
      </c>
      <c r="N2" s="11" t="s">
        <v>202</v>
      </c>
      <c r="O2" s="11" t="s">
        <v>203</v>
      </c>
      <c r="P2" s="11" t="s">
        <v>204</v>
      </c>
      <c r="Q2" s="11" t="s">
        <v>205</v>
      </c>
      <c r="R2" s="11" t="s">
        <v>206</v>
      </c>
      <c r="S2" s="11" t="s">
        <v>207</v>
      </c>
      <c r="T2" s="11" t="s">
        <v>208</v>
      </c>
      <c r="U2" s="11" t="s">
        <v>209</v>
      </c>
      <c r="V2" s="11" t="s">
        <v>210</v>
      </c>
      <c r="W2" s="11" t="s">
        <v>211</v>
      </c>
      <c r="X2" s="11" t="s">
        <v>212</v>
      </c>
      <c r="Y2" s="11" t="s">
        <v>213</v>
      </c>
      <c r="Z2" s="11" t="s">
        <v>214</v>
      </c>
      <c r="AA2" s="11" t="s">
        <v>215</v>
      </c>
      <c r="AB2" s="11" t="s">
        <v>216</v>
      </c>
      <c r="AC2" s="11" t="s">
        <v>217</v>
      </c>
      <c r="AD2" s="11" t="s">
        <v>218</v>
      </c>
      <c r="AE2" s="11" t="s">
        <v>219</v>
      </c>
      <c r="AF2" s="11" t="s">
        <v>220</v>
      </c>
      <c r="AG2" s="11" t="s">
        <v>221</v>
      </c>
      <c r="AH2" s="11" t="s">
        <v>222</v>
      </c>
      <c r="AI2" s="11" t="s">
        <v>223</v>
      </c>
      <c r="AJ2" s="11" t="s">
        <v>224</v>
      </c>
      <c r="AK2" s="11" t="s">
        <v>225</v>
      </c>
      <c r="AL2" s="11" t="s">
        <v>226</v>
      </c>
      <c r="AM2" s="11" t="s">
        <v>227</v>
      </c>
      <c r="AN2" s="11" t="s">
        <v>228</v>
      </c>
    </row>
    <row r="3" customFormat="false" ht="27.75" hidden="false" customHeight="true" outlineLevel="0" collapsed="false">
      <c r="A3" s="27" t="str">
        <f aca="false">IF(Deals!A3="","",Deals!A3)</f>
        <v>1318974-0</v>
      </c>
      <c r="B3" s="1" t="str">
        <f aca="false">IF(A3="","",Deals!B3)</f>
        <v>0 Bench screen (ARV 354k, Heavy, occupied)</v>
      </c>
      <c r="C3" s="26" t="str">
        <f aca="false">IF(A3="","",IF(MAX(V3,AF3)&lt;=0,"Pass",IF(V3&gt;=AF3,"Flip","Value-add hold")))</f>
        <v>Flip</v>
      </c>
      <c r="D3" s="28" t="n">
        <f aca="false">IF(A3="","",MAX(V3,AF3))</f>
        <v>116429.489064039</v>
      </c>
      <c r="E3" s="29" t="str">
        <f aca="false">IF(A3="","",IF(D3&lt;=0,"Pass",IF(N(Deals!D3)&lt;=1,"$1 = awaiting minimum bid; re-check the morning of Nov 3",IF(D3&lt;Deals!D3,"Max bid below opening bid: pass","Room of "&amp;TEXT(D3-Deals!D3,"$#,##0")&amp;" over opening bid"))))</f>
        <v>Room of $91,729 over opening bid</v>
      </c>
      <c r="F3" s="28" t="n">
        <f aca="false">IF(A3="","",IF(C3="Flip",W3,IF(C3="Value-add hold",AG3,0)))</f>
        <v>237864.4</v>
      </c>
      <c r="G3" s="29" t="str">
        <f aca="false">IF(A3="","",IF(C3="Flip",TEXT(X3,"$#,##0")&amp;" profit, "&amp;TEXT(Y3,"0%")&amp;"/yr over "&amp;TEXT(M3,"0")&amp;" mo",IF(C3="Value-add hold",TEXT(AH3,"0.0%")&amp;" yield on cost; "&amp;IF(ISNUMBER(AJ3),TEXT(AJ3,"0.0%")&amp;" cash-on-cash after refi","all cash out at refi"),"")))</f>
        <v>$83,253 profit, 15%/yr over 28 mo</v>
      </c>
      <c r="H3" s="26" t="str">
        <f aca="false">IF(A3="","",IF(C3="Flip",IF(W3&lt;=FlipCeiling,"In $300k flip box","Over flip ceiling: needs to be exceptional"),IF(C3="Value-add hold","Value-add","")))</f>
        <v>In $300k flip box</v>
      </c>
      <c r="I3" s="29" t="str">
        <f aca="false">IF(A3="","",TRIM(IF(AK3&gt;D3,"Wholesale assignment supports "&amp;TEXT(AK3,"$#,##0")&amp;". ","")&amp;IF(AND(ISNUMBER(AN3),N(AN3)&gt;D3),"Teardown/new units supports "&amp;TEXT(AN3,"$#,##0")&amp;".","")))</f>
        <v>Wholesale assignment supports $131,358.</v>
      </c>
      <c r="J3" s="29" t="str">
        <f aca="false">IF(A3="","",TRIM(IF(Deals!F3="2nd","Plaintiff is 2nd: add senior mortgage to surviving liens. ",IF(Deals!F3&lt;&gt;"1st","Lien position unconfirmed. ",""))&amp;IF(N(Deals!M3)=0,"No ARV yet. ","")&amp;IF(N(Deals!G3)=0,"No building sf: rehab is allowance only. ","")&amp;IF(AND(N(Deals!S3)&gt;0,D3&gt;0,D3*(1-RTTPurchase)-SheriffCostsFromBid&lt;N(Deals!S3)),"City claims not fully paid at max bid; unpaid part is counted as cost. ","")&amp;IF(K3=1,"Occupancy assumed: +"&amp;TEXT(EjectMonths,"0")&amp;" mo and possession cost. ","")))</f>
        <v>Occupancy assumed: +8 mo and possession cost.</v>
      </c>
      <c r="K3" s="27" t="n">
        <f aca="false">IF(A3="","",IF(OR(Deals!Q3="Occupied",AND(Deals!Q3&lt;&gt;"Vacant",UnknownAsOccupied="Y")),1,0))</f>
        <v>1</v>
      </c>
      <c r="L3" s="30" t="n">
        <f aca="false">IF(A3="","",IFERROR(INDEX(ScopeMonths,MATCH(Deals!O3,ScopeNames,0)),INDEX(ScopeMonths,3)))</f>
        <v>5</v>
      </c>
      <c r="M3" s="30" t="n">
        <f aca="false">IF(A3="","",DeedMonths+K3*EjectMonths+L3+SellMonths)</f>
        <v>28</v>
      </c>
      <c r="N3" s="30" t="n">
        <f aca="false">IF(A3="","",DeedMonths+K3*EjectMonths+L3+LeaseUpMonths)</f>
        <v>27</v>
      </c>
      <c r="O3" s="31" t="n">
        <f aca="false">IF(A3="","",N(Deals!G3)*IFERROR(INDEX(ScopePSF,MATCH(Deals!O3,ScopeNames,0)),INDEX(ScopePSF,3))*(1+Contingency)+BlindAllowance+N(Deals!P3))</f>
        <v>81400</v>
      </c>
      <c r="P3" s="31" t="n">
        <f aca="false">IF(A3="","",IF(N(Deals!K3)&gt;0,Deals!K3,N(Deals!M3))*TaxRate/12+VacantInsMo+SecuringMo+UtilitiesMo+N(Deals!T3))</f>
        <v>757.80245</v>
      </c>
      <c r="Q3" s="31" t="n">
        <f aca="false">IF(A3="","",SheriffFees+PurchaseTitle+CompelDeedLegal+K3*PossessionCost+N(Deals!R3)+N(Deals!T3)*HOAArrearsMonths)</f>
        <v>17070</v>
      </c>
      <c r="R3" s="31" t="n">
        <f aca="false">IF(A3="","",N(Deals!M3)*(BrokerPct+SellerRTT+SellClosingPct+ConcessionsPct))</f>
        <v>32883.06</v>
      </c>
      <c r="S3" s="31" t="n">
        <f aca="false">IF(A3="","",Q3+O3+P3*M3)</f>
        <v>119688.4686</v>
      </c>
      <c r="T3" s="31" t="n">
        <f aca="false">IF(A3="","",N(Deals!M3)-R3-S3)</f>
        <v>201428.4714</v>
      </c>
      <c r="U3" s="31" t="n">
        <f aca="false">IF(A3="","",MIN(T3-FlipTarget,(T3-FlipMinAnnROI*M3/12*S3)/(1+FlipMinAnnROI*M3/12)))</f>
        <v>118175.9314</v>
      </c>
      <c r="V3" s="31" t="n">
        <f aca="false">IF(A3="","",IF(N(Deals!S3)=0,MAX(0,(U3)/(1+BuyerPremium)),IF((U3)&gt;=(N(Deals!S3)+SheriffCostsFromBid)/(1-RTTPurchase)*(1+BuyerPremium),(U3)/(1+BuyerPremium),MAX(0,((U3)-N(Deals!S3)-SheriffCostsFromBid)/(BuyerPremium+RTTPurchase)))))</f>
        <v>116429.489064039</v>
      </c>
      <c r="W3" s="31" t="n">
        <f aca="false">IF(A3="","",((V3)*(1+BuyerPremium)+IF(N(Deals!S3)=0,0,MIN(N(Deals!S3),MAX(0,N(Deals!S3)+SheriffCostsFromBid-(V3)*(1-RTTPurchase)))))+S3)</f>
        <v>237864.4</v>
      </c>
      <c r="X3" s="31" t="n">
        <f aca="false">IF(A3="","",T3-((V3)*(1+BuyerPremium)+IF(N(Deals!S3)=0,0,MIN(N(Deals!S3),MAX(0,N(Deals!S3)+SheriffCostsFromBid-(V3)*(1-RTTPurchase))))))</f>
        <v>83252.54</v>
      </c>
      <c r="Y3" s="32" t="n">
        <f aca="false">IF(A3="","",IFERROR(X3/W3/(M3/12),0))</f>
        <v>0.15</v>
      </c>
      <c r="Z3" s="31" t="n">
        <f aca="false">IF(A3="","",N(Deals!N3)*12*(1-Vacancy)*(1-MgmtPct-MaintPct-CapexPct)-N(Deals!M3)*TaxRate-MAX(1,N(Deals!J3))*(InsPerUnit+WaterPerUnit)-N(Deals!T3)*12)</f>
        <v>16357.508</v>
      </c>
      <c r="AA3" s="31" t="n">
        <f aca="false">IF(A3="","",Q3+O3+P3*N3)</f>
        <v>118930.66615</v>
      </c>
      <c r="AB3" s="31" t="n">
        <f aca="false">IF(A3="","",MAX(0,MIN(RefiLTV*N(Deals!M3),Z3/(RefiDSCR*12*PMT(RefiRate/12,RefiTerm*12,-1)))))</f>
        <v>166516.791739224</v>
      </c>
      <c r="AC3" s="31" t="n">
        <f aca="false">IF(A3="","",Z3-AB3*12*PMT(RefiRate/12,RefiTerm*12,-1))</f>
        <v>2726.25133333333</v>
      </c>
      <c r="AD3" s="31" t="n">
        <f aca="false">IF(A3="","",IF(N(Deals!S3)=0,MAX(0,(Z3/HoldTarget-AA3)/(1+BuyerPremium)),IF((Z3/HoldTarget-AA3)&gt;=(N(Deals!S3)+SheriffCostsFromBid)/(1-RTTPurchase)*(1+BuyerPremium),(Z3/HoldTarget-AA3)/(1+BuyerPremium),MAX(0,((Z3/HoldTarget-AA3)-N(Deals!S3)-SheriffCostsFromBid)/(BuyerPremium+RTTPurchase)))))</f>
        <v>17125.0251395731</v>
      </c>
      <c r="AE3" s="31" t="n">
        <f aca="false">IF(A3="","",IF(AC3&lt;=0,0,IF(N(Deals!S3)=0,MAX(0,(AC3/HoldTarget+AB3*(1-RefiCostPct)-AA3)/(1+BuyerPremium)),IF((AC3/HoldTarget+AB3*(1-RefiCostPct)-AA3)&gt;=(N(Deals!S3)+SheriffCostsFromBid)/(1-RTTPurchase)*(1+BuyerPremium),(AC3/HoldTarget+AB3*(1-RefiCostPct)-AA3)/(1+BuyerPremium),MAX(0,((AC3/HoldTarget+AB3*(1-RefiCostPct)-AA3)-N(Deals!S3)-SheriffCostsFromBid)/(BuyerPremium+RTTPurchase))))))</f>
        <v>64344.2196533581</v>
      </c>
      <c r="AF3" s="31" t="n">
        <f aca="false">IF(A3="","",IF(HoldMeasure="Cash-on-cash",AE3,AD3))</f>
        <v>17125.0251395731</v>
      </c>
      <c r="AG3" s="31" t="n">
        <f aca="false">IF(A3="","",((AF3)*(1+BuyerPremium)+IF(N(Deals!S3)=0,0,MIN(N(Deals!S3),MAX(0,N(Deals!S3)+SheriffCostsFromBid-(AF3)*(1-RTTPurchase)))))+AA3)</f>
        <v>136312.566666667</v>
      </c>
      <c r="AH3" s="32" t="n">
        <f aca="false">IF(A3="","",IFERROR(Z3/AG3,0))</f>
        <v>0.12</v>
      </c>
      <c r="AI3" s="31" t="n">
        <f aca="false">IF(A3="","",AG3-AB3*(1-RefiCostPct))</f>
        <v>-25208.7213203807</v>
      </c>
      <c r="AJ3" s="32" t="str">
        <f aca="false">IF(A3="","",IF(AI3&lt;=0,"All cash out",AC3/AI3))</f>
        <v>All cash out</v>
      </c>
      <c r="AK3" s="31" t="n">
        <f aca="false">IF(A3="","",IF(N(Deals!S3)=0,MAX(0,(T3-BuyerMarginPct*N(Deals!M3)-WholesaleMinFee)/(1+BuyerPremium)),IF((T3-BuyerMarginPct*N(Deals!M3)-WholesaleMinFee)&gt;=(N(Deals!S3)+SheriffCostsFromBid)/(1-RTTPurchase)*(1+BuyerPremium),(T3-BuyerMarginPct*N(Deals!M3)-WholesaleMinFee)/(1+BuyerPremium),MAX(0,((T3-BuyerMarginPct*N(Deals!M3)-WholesaleMinFee)-N(Deals!S3)-SheriffCostsFromBid)/(BuyerPremium+RTTPurchase)))))</f>
        <v>131358.099901478</v>
      </c>
      <c r="AL3" s="31" t="str">
        <f aca="false">IF(OR(A3="",N(Deals!U3)=0),"",Deals!U3*N(Deals!W3))</f>
        <v/>
      </c>
      <c r="AM3" s="31" t="str">
        <f aca="false">IF(AL3="","",DemoCost+N(Deals!V3)*BuildCostPSF*(1+SoftCostPct)+P3*(DeedMonths+K3*EjectMonths+BuildMonths+SellMonths)+Q3+AL3*(BrokerPct+SellerRTT+SellClosingPct+ConcessionsPct))</f>
        <v/>
      </c>
      <c r="AN3" s="31" t="str">
        <f aca="false">IF(AL3="","",IF(N(Deals!S3)=0,MAX(0,(AL3-AM3-MAX(FlipTarget,DevMarginPct*AL3))/(1+BuyerPremium)),IF((AL3-AM3-MAX(FlipTarget,DevMarginPct*AL3))&gt;=(N(Deals!S3)+SheriffCostsFromBid)/(1-RTTPurchase)*(1+BuyerPremium),(AL3-AM3-MAX(FlipTarget,DevMarginPct*AL3))/(1+BuyerPremium),MAX(0,((AL3-AM3-MAX(FlipTarget,DevMarginPct*AL3))-N(Deals!S3)-SheriffCostsFromBid)/(BuyerPremium+RTTPurchase)))))</f>
        <v/>
      </c>
    </row>
    <row r="4" customFormat="false" ht="27.75" hidden="false" customHeight="true" outlineLevel="0" collapsed="false">
      <c r="A4" s="27" t="str">
        <f aca="false">IF(Deals!A4="","",Deals!A4)</f>
        <v>1318974-1</v>
      </c>
      <c r="B4" s="1" t="str">
        <f aca="false">IF(A4="","",Deals!B4)</f>
        <v>1 Base: ARV 395k, Medium (+$8k roof/front), occupied</v>
      </c>
      <c r="C4" s="26" t="str">
        <f aca="false">IF(A4="","",IF(MAX(V4,AF4)&lt;=0,"Pass",IF(V4&gt;=AF4,"Flip","Value-add hold")))</f>
        <v>Flip</v>
      </c>
      <c r="D4" s="28" t="n">
        <f aca="false">IF(A4="","",MAX(V4,AF4))</f>
        <v>166944.441377451</v>
      </c>
      <c r="E4" s="29" t="str">
        <f aca="false">IF(A4="","",IF(D4&lt;=0,"Pass",IF(N(Deals!D4)&lt;=1,"$1 = awaiting minimum bid; re-check the morning of Nov 3",IF(D4&lt;Deals!D4,"Max bid below opening bid: pass","Room of "&amp;TEXT(D4-Deals!D4,"$#,##0")&amp;" over opening bid"))))</f>
        <v>Room of $142,244 over opening bid</v>
      </c>
      <c r="F4" s="28" t="n">
        <f aca="false">IF(A4="","",IF(C4="Flip",W4,IF(C4="Value-add hold",AG4,0)))</f>
        <v>270421.471698113</v>
      </c>
      <c r="G4" s="29" t="str">
        <f aca="false">IF(A4="","",IF(C4="Flip",TEXT(X4,"$#,##0")&amp;" profit, "&amp;TEXT(Y4,"0%")&amp;"/yr over "&amp;TEXT(M4,"0")&amp;" mo",IF(C4="Value-add hold",TEXT(AH4,"0.0%")&amp;" yield on cost; "&amp;IF(ISNUMBER(AJ4),TEXT(AJ4,"0.0%")&amp;" cash-on-cash after refi","all cash out at refi"),"")))</f>
        <v>$87,887 profit, 15%/yr over 26 mo</v>
      </c>
      <c r="H4" s="26" t="str">
        <f aca="false">IF(A4="","",IF(C4="Flip",IF(W4&lt;=FlipCeiling,"In $300k flip box","Over flip ceiling: needs to be exceptional"),IF(C4="Value-add hold","Value-add","")))</f>
        <v>In $300k flip box</v>
      </c>
      <c r="I4" s="29" t="str">
        <f aca="false">IF(A4="","",TRIM(IF(AK4&gt;D4,"Wholesale assignment supports "&amp;TEXT(AK4,"$#,##0")&amp;". ","")&amp;IF(AND(ISNUMBER(AN4),N(AN4)&gt;D4),"Teardown/new units supports "&amp;TEXT(AN4,"$#,##0")&amp;".","")))</f>
        <v>Wholesale assignment supports $180,380.</v>
      </c>
      <c r="J4" s="29" t="str">
        <f aca="false">IF(A4="","",TRIM(IF(Deals!F4="2nd","Plaintiff is 2nd: add senior mortgage to surviving liens. ",IF(Deals!F4&lt;&gt;"1st","Lien position unconfirmed. ",""))&amp;IF(N(Deals!M4)=0,"No ARV yet. ","")&amp;IF(N(Deals!G4)=0,"No building sf: rehab is allowance only. ","")&amp;IF(AND(N(Deals!S4)&gt;0,D4&gt;0,D4*(1-RTTPurchase)-SheriffCostsFromBid&lt;N(Deals!S4)),"City claims not fully paid at max bid; unpaid part is counted as cost. ","")&amp;IF(K4=1,"Occupancy assumed: +"&amp;TEXT(EjectMonths,"0")&amp;" mo and possession cost. ","")))</f>
        <v>Occupancy assumed: +8 mo and possession cost.</v>
      </c>
      <c r="K4" s="27" t="n">
        <f aca="false">IF(A4="","",IF(OR(Deals!Q4="Occupied",AND(Deals!Q4&lt;&gt;"Vacant",UnknownAsOccupied="Y")),1,0))</f>
        <v>1</v>
      </c>
      <c r="L4" s="30" t="n">
        <f aca="false">IF(A4="","",IFERROR(INDEX(ScopeMonths,MATCH(Deals!O4,ScopeNames,0)),INDEX(ScopeMonths,3)))</f>
        <v>3</v>
      </c>
      <c r="M4" s="30" t="n">
        <f aca="false">IF(A4="","",DeedMonths+K4*EjectMonths+L4+SellMonths)</f>
        <v>26</v>
      </c>
      <c r="N4" s="30" t="n">
        <f aca="false">IF(A4="","",DeedMonths+K4*EjectMonths+L4+LeaseUpMonths)</f>
        <v>25</v>
      </c>
      <c r="O4" s="31" t="n">
        <f aca="false">IF(A4="","",N(Deals!G4)*IFERROR(INDEX(ScopePSF,MATCH(Deals!O4,ScopeNames,0)),INDEX(ScopePSF,3))*(1+Contingency)+BlindAllowance+N(Deals!P4))</f>
        <v>64200</v>
      </c>
      <c r="P4" s="31" t="n">
        <f aca="false">IF(A4="","",IF(N(Deals!K4)&gt;0,Deals!K4,N(Deals!M4))*TaxRate/12+VacantInsMo+SecuringMo+UtilitiesMo+N(Deals!T4))</f>
        <v>757.80245</v>
      </c>
      <c r="Q4" s="31" t="n">
        <f aca="false">IF(A4="","",SheriffFees+PurchaseTitle+CompelDeedLegal+K4*PossessionCost+N(Deals!R4)+N(Deals!T4)*HOAArrearsMonths)</f>
        <v>17070</v>
      </c>
      <c r="R4" s="31" t="n">
        <f aca="false">IF(A4="","",N(Deals!M4)*(BrokerPct+SellerRTT+SellClosingPct+ConcessionsPct))</f>
        <v>36691.55</v>
      </c>
      <c r="S4" s="31" t="n">
        <f aca="false">IF(A4="","",Q4+O4+P4*M4)</f>
        <v>100972.8637</v>
      </c>
      <c r="T4" s="31" t="n">
        <f aca="false">IF(A4="","",N(Deals!M4)-R4-S4)</f>
        <v>257335.5863</v>
      </c>
      <c r="U4" s="31" t="n">
        <f aca="false">IF(A4="","",MIN(T4-FlipTarget,(T4-FlipMinAnnROI*M4/12*S4)/(1+FlipMinAnnROI*M4/12)))</f>
        <v>169448.607998113</v>
      </c>
      <c r="V4" s="31" t="n">
        <f aca="false">IF(A4="","",IF(N(Deals!S4)=0,MAX(0,(U4)/(1+BuyerPremium)),IF((U4)&gt;=(N(Deals!S4)+SheriffCostsFromBid)/(1-RTTPurchase)*(1+BuyerPremium),(U4)/(1+BuyerPremium),MAX(0,((U4)-N(Deals!S4)-SheriffCostsFromBid)/(BuyerPremium+RTTPurchase)))))</f>
        <v>166944.441377451</v>
      </c>
      <c r="W4" s="31" t="n">
        <f aca="false">IF(A4="","",((V4)*(1+BuyerPremium)+IF(N(Deals!S4)=0,0,MIN(N(Deals!S4),MAX(0,N(Deals!S4)+SheriffCostsFromBid-(V4)*(1-RTTPurchase)))))+S4)</f>
        <v>270421.471698113</v>
      </c>
      <c r="X4" s="31" t="n">
        <f aca="false">IF(A4="","",T4-((V4)*(1+BuyerPremium)+IF(N(Deals!S4)=0,0,MIN(N(Deals!S4),MAX(0,N(Deals!S4)+SheriffCostsFromBid-(V4)*(1-RTTPurchase))))))</f>
        <v>87886.9783018868</v>
      </c>
      <c r="Y4" s="32" t="n">
        <f aca="false">IF(A4="","",IFERROR(X4/W4/(M4/12),0))</f>
        <v>0.15</v>
      </c>
      <c r="Z4" s="31" t="n">
        <f aca="false">IF(A4="","",N(Deals!N4)*12*(1-Vacancy)*(1-MgmtPct-MaintPct-CapexPct)-N(Deals!M4)*TaxRate-MAX(1,N(Deals!J4))*(InsPerUnit+WaterPerUnit)-N(Deals!T4)*12)</f>
        <v>15783.59</v>
      </c>
      <c r="AA4" s="31" t="n">
        <f aca="false">IF(A4="","",Q4+O4+P4*N4)</f>
        <v>100215.06125</v>
      </c>
      <c r="AB4" s="31" t="n">
        <f aca="false">IF(A4="","",MAX(0,MIN(RefiLTV*N(Deals!M4),Z4/(RefiDSCR*12*PMT(RefiRate/12,RefiTerm*12,-1)))))</f>
        <v>160674.399115519</v>
      </c>
      <c r="AC4" s="31" t="n">
        <f aca="false">IF(A4="","",Z4-AB4*12*PMT(RefiRate/12,RefiTerm*12,-1))</f>
        <v>2630.59833333333</v>
      </c>
      <c r="AD4" s="31" t="n">
        <f aca="false">IF(A4="","",IF(N(Deals!S4)=0,MAX(0,(Z4/HoldTarget-AA4)/(1+BuyerPremium)),IF((Z4/HoldTarget-AA4)&gt;=(N(Deals!S4)+SheriffCostsFromBid)/(1-RTTPurchase)*(1+BuyerPremium),(Z4/HoldTarget-AA4)/(1+BuyerPremium),MAX(0,((Z4/HoldTarget-AA4)-N(Deals!S4)-SheriffCostsFromBid)/(BuyerPremium+RTTPurchase)))))</f>
        <v>30852.0743021347</v>
      </c>
      <c r="AE4" s="31" t="n">
        <f aca="false">IF(A4="","",IF(AC4&lt;=0,0,IF(N(Deals!S4)=0,MAX(0,(AC4/HoldTarget+AB4*(1-RefiCostPct)-AA4)/(1+BuyerPremium)),IF((AC4/HoldTarget+AB4*(1-RefiCostPct)-AA4)&gt;=(N(Deals!S4)+SheriffCostsFromBid)/(1-RTTPurchase)*(1+BuyerPremium),(AC4/HoldTarget+AB4*(1-RefiCostPct)-AA4)/(1+BuyerPremium),MAX(0,((AC4/HoldTarget+AB4*(1-RefiCostPct)-AA4)-N(Deals!S4)-SheriffCostsFromBid)/(BuyerPremium+RTTPurchase))))))</f>
        <v>76414.5405614104</v>
      </c>
      <c r="AF4" s="31" t="n">
        <f aca="false">IF(A4="","",IF(HoldMeasure="Cash-on-cash",AE4,AD4))</f>
        <v>30852.0743021347</v>
      </c>
      <c r="AG4" s="31" t="n">
        <f aca="false">IF(A4="","",((AF4)*(1+BuyerPremium)+IF(N(Deals!S4)=0,0,MIN(N(Deals!S4),MAX(0,N(Deals!S4)+SheriffCostsFromBid-(AF4)*(1-RTTPurchase)))))+AA4)</f>
        <v>131529.916666667</v>
      </c>
      <c r="AH4" s="32" t="n">
        <f aca="false">IF(A4="","",IFERROR(Z4/AG4,0))</f>
        <v>0.12</v>
      </c>
      <c r="AI4" s="31" t="n">
        <f aca="false">IF(A4="","",AG4-AB4*(1-RefiCostPct))</f>
        <v>-24324.2504753871</v>
      </c>
      <c r="AJ4" s="32" t="str">
        <f aca="false">IF(A4="","",IF(AI4&lt;=0,"All cash out",AC4/AI4))</f>
        <v>All cash out</v>
      </c>
      <c r="AK4" s="31" t="n">
        <f aca="false">IF(A4="","",IF(N(Deals!S4)=0,MAX(0,(T4-BuyerMarginPct*N(Deals!M4)-WholesaleMinFee)/(1+BuyerPremium)),IF((T4-BuyerMarginPct*N(Deals!M4)-WholesaleMinFee)&gt;=(N(Deals!S4)+SheriffCostsFromBid)/(1-RTTPurchase)*(1+BuyerPremium),(T4-BuyerMarginPct*N(Deals!M4)-WholesaleMinFee)/(1+BuyerPremium),MAX(0,((T4-BuyerMarginPct*N(Deals!M4)-WholesaleMinFee)-N(Deals!S4)-SheriffCostsFromBid)/(BuyerPremium+RTTPurchase)))))</f>
        <v>180379.887980296</v>
      </c>
      <c r="AL4" s="31" t="str">
        <f aca="false">IF(OR(A4="",N(Deals!U4)=0),"",Deals!U4*N(Deals!W4))</f>
        <v/>
      </c>
      <c r="AM4" s="31" t="str">
        <f aca="false">IF(AL4="","",DemoCost+N(Deals!V4)*BuildCostPSF*(1+SoftCostPct)+P4*(DeedMonths+K4*EjectMonths+BuildMonths+SellMonths)+Q4+AL4*(BrokerPct+SellerRTT+SellClosingPct+ConcessionsPct))</f>
        <v/>
      </c>
      <c r="AN4" s="31" t="str">
        <f aca="false">IF(AL4="","",IF(N(Deals!S4)=0,MAX(0,(AL4-AM4-MAX(FlipTarget,DevMarginPct*AL4))/(1+BuyerPremium)),IF((AL4-AM4-MAX(FlipTarget,DevMarginPct*AL4))&gt;=(N(Deals!S4)+SheriffCostsFromBid)/(1-RTTPurchase)*(1+BuyerPremium),(AL4-AM4-MAX(FlipTarget,DevMarginPct*AL4))/(1+BuyerPremium),MAX(0,((AL4-AM4-MAX(FlipTarget,DevMarginPct*AL4))-N(Deals!S4)-SheriffCostsFromBid)/(BuyerPremium+RTTPurchase)))))</f>
        <v/>
      </c>
    </row>
    <row r="5" customFormat="false" ht="27.75" hidden="false" customHeight="true" outlineLevel="0" collapsed="false">
      <c r="A5" s="27" t="str">
        <f aca="false">IF(Deals!A5="","",Deals!A5)</f>
        <v>1318974-2</v>
      </c>
      <c r="B5" s="1" t="str">
        <f aca="false">IF(A5="","",Deals!B5)</f>
        <v>2 Base but vacant at deed</v>
      </c>
      <c r="C5" s="26" t="str">
        <f aca="false">IF(A5="","",IF(MAX(V5,AF5)&lt;=0,"Pass",IF(V5&gt;=AF5,"Flip","Value-add hold")))</f>
        <v>Flip</v>
      </c>
      <c r="D5" s="28" t="n">
        <f aca="false">IF(A5="","",MAX(V5,AF5))</f>
        <v>204518.472687242</v>
      </c>
      <c r="E5" s="29" t="str">
        <f aca="false">IF(A5="","",IF(D5&lt;=0,"Pass",IF(N(Deals!D5)&lt;=1,"$1 = awaiting minimum bid; re-check the morning of Nov 3",IF(D5&lt;Deals!D5,"Max bid below opening bid: pass","Room of "&amp;TEXT(D5-Deals!D5,"$#,##0")&amp;" over opening bid"))))</f>
        <v>Room of $179,818 over opening bid</v>
      </c>
      <c r="F5" s="28" t="n">
        <f aca="false">IF(A5="","",IF(C5="Flip",W5,IF(C5="Value-add hold",AG5,0)))</f>
        <v>292496.693877551</v>
      </c>
      <c r="G5" s="29" t="str">
        <f aca="false">IF(A5="","",IF(C5="Flip",TEXT(X5,"$#,##0")&amp;" profit, "&amp;TEXT(Y5,"0%")&amp;"/yr over "&amp;TEXT(M5,"0")&amp;" mo",IF(C5="Value-add hold",TEXT(AH5,"0.0%")&amp;" yield on cost; "&amp;IF(ISNUMBER(AJ5),TEXT(AJ5,"0.0%")&amp;" cash-on-cash after refi","all cash out at refi"),"")))</f>
        <v>$65,812 profit, 15%/yr over 18 mo</v>
      </c>
      <c r="H5" s="26" t="str">
        <f aca="false">IF(A5="","",IF(C5="Flip",IF(W5&lt;=FlipCeiling,"In $300k flip box","Over flip ceiling: needs to be exceptional"),IF(C5="Value-add hold","Value-add","")))</f>
        <v>In $300k flip box</v>
      </c>
      <c r="I5" s="29" t="str">
        <f aca="false">IF(A5="","",TRIM(IF(AK5&gt;D5,"Wholesale assignment supports "&amp;TEXT(AK5,"$#,##0")&amp;". ","")&amp;IF(AND(ISNUMBER(AN5),N(AN5)&gt;D5),"Teardown/new units supports "&amp;TEXT(AN5,"$#,##0")&amp;".","")))</f>
        <v/>
      </c>
      <c r="J5" s="29" t="str">
        <f aca="false">IF(A5="","",TRIM(IF(Deals!F5="2nd","Plaintiff is 2nd: add senior mortgage to surviving liens. ",IF(Deals!F5&lt;&gt;"1st","Lien position unconfirmed. ",""))&amp;IF(N(Deals!M5)=0,"No ARV yet. ","")&amp;IF(N(Deals!G5)=0,"No building sf: rehab is allowance only. ","")&amp;IF(AND(N(Deals!S5)&gt;0,D5&gt;0,D5*(1-RTTPurchase)-SheriffCostsFromBid&lt;N(Deals!S5)),"City claims not fully paid at max bid; unpaid part is counted as cost. ","")&amp;IF(K5=1,"Occupancy assumed: +"&amp;TEXT(EjectMonths,"0")&amp;" mo and possession cost. ","")))</f>
        <v/>
      </c>
      <c r="K5" s="27" t="n">
        <f aca="false">IF(A5="","",IF(OR(Deals!Q5="Occupied",AND(Deals!Q5&lt;&gt;"Vacant",UnknownAsOccupied="Y")),1,0))</f>
        <v>0</v>
      </c>
      <c r="L5" s="30" t="n">
        <f aca="false">IF(A5="","",IFERROR(INDEX(ScopeMonths,MATCH(Deals!O5,ScopeNames,0)),INDEX(ScopeMonths,3)))</f>
        <v>3</v>
      </c>
      <c r="M5" s="30" t="n">
        <f aca="false">IF(A5="","",DeedMonths+K5*EjectMonths+L5+SellMonths)</f>
        <v>18</v>
      </c>
      <c r="N5" s="30" t="n">
        <f aca="false">IF(A5="","",DeedMonths+K5*EjectMonths+L5+LeaseUpMonths)</f>
        <v>17</v>
      </c>
      <c r="O5" s="31" t="n">
        <f aca="false">IF(A5="","",N(Deals!G5)*IFERROR(INDEX(ScopePSF,MATCH(Deals!O5,ScopeNames,0)),INDEX(ScopePSF,3))*(1+Contingency)+BlindAllowance+N(Deals!P5))</f>
        <v>64200</v>
      </c>
      <c r="P5" s="31" t="n">
        <f aca="false">IF(A5="","",IF(N(Deals!K5)&gt;0,Deals!K5,N(Deals!M5))*TaxRate/12+VacantInsMo+SecuringMo+UtilitiesMo+N(Deals!T5))</f>
        <v>757.80245</v>
      </c>
      <c r="Q5" s="31" t="n">
        <f aca="false">IF(A5="","",SheriffFees+PurchaseTitle+CompelDeedLegal+K5*PossessionCost+N(Deals!R5)+N(Deals!T5)*HOAArrearsMonths)</f>
        <v>7070</v>
      </c>
      <c r="R5" s="31" t="n">
        <f aca="false">IF(A5="","",N(Deals!M5)*(BrokerPct+SellerRTT+SellClosingPct+ConcessionsPct))</f>
        <v>36691.55</v>
      </c>
      <c r="S5" s="31" t="n">
        <f aca="false">IF(A5="","",Q5+O5+P5*M5)</f>
        <v>84910.4441</v>
      </c>
      <c r="T5" s="31" t="n">
        <f aca="false">IF(A5="","",N(Deals!M5)-R5-S5)</f>
        <v>273398.0059</v>
      </c>
      <c r="U5" s="31" t="n">
        <f aca="false">IF(A5="","",MIN(T5-FlipTarget,(T5-FlipMinAnnROI*M5/12*S5)/(1+FlipMinAnnROI*M5/12)))</f>
        <v>207586.249777551</v>
      </c>
      <c r="V5" s="31" t="n">
        <f aca="false">IF(A5="","",IF(N(Deals!S5)=0,MAX(0,(U5)/(1+BuyerPremium)),IF((U5)&gt;=(N(Deals!S5)+SheriffCostsFromBid)/(1-RTTPurchase)*(1+BuyerPremium),(U5)/(1+BuyerPremium),MAX(0,((U5)-N(Deals!S5)-SheriffCostsFromBid)/(BuyerPremium+RTTPurchase)))))</f>
        <v>204518.472687242</v>
      </c>
      <c r="W5" s="31" t="n">
        <f aca="false">IF(A5="","",((V5)*(1+BuyerPremium)+IF(N(Deals!S5)=0,0,MIN(N(Deals!S5),MAX(0,N(Deals!S5)+SheriffCostsFromBid-(V5)*(1-RTTPurchase)))))+S5)</f>
        <v>292496.693877551</v>
      </c>
      <c r="X5" s="31" t="n">
        <f aca="false">IF(A5="","",T5-((V5)*(1+BuyerPremium)+IF(N(Deals!S5)=0,0,MIN(N(Deals!S5),MAX(0,N(Deals!S5)+SheriffCostsFromBid-(V5)*(1-RTTPurchase))))))</f>
        <v>65811.756122449</v>
      </c>
      <c r="Y5" s="32" t="n">
        <f aca="false">IF(A5="","",IFERROR(X5/W5/(M5/12),0))</f>
        <v>0.15</v>
      </c>
      <c r="Z5" s="31" t="n">
        <f aca="false">IF(A5="","",N(Deals!N5)*12*(1-Vacancy)*(1-MgmtPct-MaintPct-CapexPct)-N(Deals!M5)*TaxRate-MAX(1,N(Deals!J5))*(InsPerUnit+WaterPerUnit)-N(Deals!T5)*12)</f>
        <v>15783.59</v>
      </c>
      <c r="AA5" s="31" t="n">
        <f aca="false">IF(A5="","",Q5+O5+P5*N5)</f>
        <v>84152.64165</v>
      </c>
      <c r="AB5" s="31" t="n">
        <f aca="false">IF(A5="","",MAX(0,MIN(RefiLTV*N(Deals!M5),Z5/(RefiDSCR*12*PMT(RefiRate/12,RefiTerm*12,-1)))))</f>
        <v>160674.399115519</v>
      </c>
      <c r="AC5" s="31" t="n">
        <f aca="false">IF(A5="","",Z5-AB5*12*PMT(RefiRate/12,RefiTerm*12,-1))</f>
        <v>2630.59833333333</v>
      </c>
      <c r="AD5" s="31" t="n">
        <f aca="false">IF(A5="","",IF(N(Deals!S5)=0,MAX(0,(Z5/HoldTarget-AA5)/(1+BuyerPremium)),IF((Z5/HoldTarget-AA5)&gt;=(N(Deals!S5)+SheriffCostsFromBid)/(1-RTTPurchase)*(1+BuyerPremium),(Z5/HoldTarget-AA5)/(1+BuyerPremium),MAX(0,((Z5/HoldTarget-AA5)-N(Deals!S5)-SheriffCostsFromBid)/(BuyerPremium+RTTPurchase)))))</f>
        <v>46677.1182430214</v>
      </c>
      <c r="AE5" s="31" t="n">
        <f aca="false">IF(A5="","",IF(AC5&lt;=0,0,IF(N(Deals!S5)=0,MAX(0,(AC5/HoldTarget+AB5*(1-RefiCostPct)-AA5)/(1+BuyerPremium)),IF((AC5/HoldTarget+AB5*(1-RefiCostPct)-AA5)&gt;=(N(Deals!S5)+SheriffCostsFromBid)/(1-RTTPurchase)*(1+BuyerPremium),(AC5/HoldTarget+AB5*(1-RefiCostPct)-AA5)/(1+BuyerPremium),MAX(0,((AC5/HoldTarget+AB5*(1-RefiCostPct)-AA5)-N(Deals!S5)-SheriffCostsFromBid)/(BuyerPremium+RTTPurchase))))))</f>
        <v>92239.5845022971</v>
      </c>
      <c r="AF5" s="31" t="n">
        <f aca="false">IF(A5="","",IF(HoldMeasure="Cash-on-cash",AE5,AD5))</f>
        <v>46677.1182430214</v>
      </c>
      <c r="AG5" s="31" t="n">
        <f aca="false">IF(A5="","",((AF5)*(1+BuyerPremium)+IF(N(Deals!S5)=0,0,MIN(N(Deals!S5),MAX(0,N(Deals!S5)+SheriffCostsFromBid-(AF5)*(1-RTTPurchase)))))+AA5)</f>
        <v>131529.916666667</v>
      </c>
      <c r="AH5" s="32" t="n">
        <f aca="false">IF(A5="","",IFERROR(Z5/AG5,0))</f>
        <v>0.12</v>
      </c>
      <c r="AI5" s="31" t="n">
        <f aca="false">IF(A5="","",AG5-AB5*(1-RefiCostPct))</f>
        <v>-24324.2504753871</v>
      </c>
      <c r="AJ5" s="32" t="str">
        <f aca="false">IF(A5="","",IF(AI5&lt;=0,"All cash out",AC5/AI5))</f>
        <v>All cash out</v>
      </c>
      <c r="AK5" s="31" t="n">
        <f aca="false">IF(A5="","",IF(N(Deals!S5)=0,MAX(0,(T5-BuyerMarginPct*N(Deals!M5)-WholesaleMinFee)/(1+BuyerPremium)),IF((T5-BuyerMarginPct*N(Deals!M5)-WholesaleMinFee)&gt;=(N(Deals!S5)+SheriffCostsFromBid)/(1-RTTPurchase)*(1+BuyerPremium),(T5-BuyerMarginPct*N(Deals!M5)-WholesaleMinFee)/(1+BuyerPremium),MAX(0,((T5-BuyerMarginPct*N(Deals!M5)-WholesaleMinFee)-N(Deals!S5)-SheriffCostsFromBid)/(BuyerPremium+RTTPurchase)))))</f>
        <v>196204.931921182</v>
      </c>
      <c r="AL5" s="31" t="str">
        <f aca="false">IF(OR(A5="",N(Deals!U5)=0),"",Deals!U5*N(Deals!W5))</f>
        <v/>
      </c>
      <c r="AM5" s="31" t="str">
        <f aca="false">IF(AL5="","",DemoCost+N(Deals!V5)*BuildCostPSF*(1+SoftCostPct)+P5*(DeedMonths+K5*EjectMonths+BuildMonths+SellMonths)+Q5+AL5*(BrokerPct+SellerRTT+SellClosingPct+ConcessionsPct))</f>
        <v/>
      </c>
      <c r="AN5" s="31" t="str">
        <f aca="false">IF(AL5="","",IF(N(Deals!S5)=0,MAX(0,(AL5-AM5-MAX(FlipTarget,DevMarginPct*AL5))/(1+BuyerPremium)),IF((AL5-AM5-MAX(FlipTarget,DevMarginPct*AL5))&gt;=(N(Deals!S5)+SheriffCostsFromBid)/(1-RTTPurchase)*(1+BuyerPremium),(AL5-AM5-MAX(FlipTarget,DevMarginPct*AL5))/(1+BuyerPremium),MAX(0,((AL5-AM5-MAX(FlipTarget,DevMarginPct*AL5))-N(Deals!S5)-SheriffCostsFromBid)/(BuyerPremium+RTTPurchase)))))</f>
        <v/>
      </c>
    </row>
    <row r="6" customFormat="false" ht="27.75" hidden="false" customHeight="true" outlineLevel="0" collapsed="false">
      <c r="A6" s="27" t="str">
        <f aca="false">IF(Deals!A6="","",Deals!A6)</f>
        <v>1318974-3</v>
      </c>
      <c r="B6" s="1" t="str">
        <f aca="false">IF(A6="","",Deals!B6)</f>
        <v>3 Light cosmetic: ARV 375k, Light, occupied</v>
      </c>
      <c r="C6" s="26" t="str">
        <f aca="false">IF(A6="","",IF(MAX(V6,AF6)&lt;=0,"Pass",IF(V6&gt;=AF6,"Flip","Value-add hold")))</f>
        <v>Flip</v>
      </c>
      <c r="D6" s="28" t="n">
        <f aca="false">IF(A6="","",MAX(V6,AF6))</f>
        <v>185181.501935257</v>
      </c>
      <c r="E6" s="29" t="str">
        <f aca="false">IF(A6="","",IF(D6&lt;=0,"Pass",IF(N(Deals!D6)&lt;=1,"$1 = awaiting minimum bid; re-check the morning of Nov 3",IF(D6&lt;Deals!D6,"Max bid below opening bid: pass","Room of "&amp;TEXT(D6-Deals!D6,"$#,##0")&amp;" over opening bid"))))</f>
        <v>Room of $160,482 over opening bid</v>
      </c>
      <c r="F6" s="28" t="n">
        <f aca="false">IF(A6="","",IF(C6="Flip",W6,IF(C6="Value-add hold",AG6,0)))</f>
        <v>259174.285714286</v>
      </c>
      <c r="G6" s="29" t="str">
        <f aca="false">IF(A6="","",IF(C6="Flip",TEXT(X6,"$#,##0")&amp;" profit, "&amp;TEXT(Y6,"0%")&amp;"/yr over "&amp;TEXT(M6,"0")&amp;" mo",IF(C6="Value-add hold",TEXT(AH6,"0.0%")&amp;" yield on cost; "&amp;IF(ISNUMBER(AJ6),TEXT(AJ6,"0.0%")&amp;" cash-on-cash after refi","all cash out at refi"),"")))</f>
        <v>$80,992 profit, 15%/yr over 25 mo</v>
      </c>
      <c r="H6" s="26" t="str">
        <f aca="false">IF(A6="","",IF(C6="Flip",IF(W6&lt;=FlipCeiling,"In $300k flip box","Over flip ceiling: needs to be exceptional"),IF(C6="Value-add hold","Value-add","")))</f>
        <v>In $300k flip box</v>
      </c>
      <c r="I6" s="29" t="str">
        <f aca="false">IF(A6="","",TRIM(IF(AK6&gt;D6,"Wholesale assignment supports "&amp;TEXT(AK6,"$#,##0")&amp;". ","")&amp;IF(AND(ISNUMBER(AN6),N(AN6)&gt;D6),"Teardown/new units supports "&amp;TEXT(AN6,"$#,##0")&amp;".","")))</f>
        <v>Wholesale assignment supports $194,779.</v>
      </c>
      <c r="J6" s="29" t="str">
        <f aca="false">IF(A6="","",TRIM(IF(Deals!F6="2nd","Plaintiff is 2nd: add senior mortgage to surviving liens. ",IF(Deals!F6&lt;&gt;"1st","Lien position unconfirmed. ",""))&amp;IF(N(Deals!M6)=0,"No ARV yet. ","")&amp;IF(N(Deals!G6)=0,"No building sf: rehab is allowance only. ","")&amp;IF(AND(N(Deals!S6)&gt;0,D6&gt;0,D6*(1-RTTPurchase)-SheriffCostsFromBid&lt;N(Deals!S6)),"City claims not fully paid at max bid; unpaid part is counted as cost. ","")&amp;IF(K6=1,"Occupancy assumed: +"&amp;TEXT(EjectMonths,"0")&amp;" mo and possession cost. ","")))</f>
        <v>Occupancy assumed: +8 mo and possession cost.</v>
      </c>
      <c r="K6" s="27" t="n">
        <f aca="false">IF(A6="","",IF(OR(Deals!Q6="Occupied",AND(Deals!Q6&lt;&gt;"Vacant",UnknownAsOccupied="Y")),1,0))</f>
        <v>1</v>
      </c>
      <c r="L6" s="30" t="n">
        <f aca="false">IF(A6="","",IFERROR(INDEX(ScopeMonths,MATCH(Deals!O6,ScopeNames,0)),INDEX(ScopeMonths,3)))</f>
        <v>2</v>
      </c>
      <c r="M6" s="30" t="n">
        <f aca="false">IF(A6="","",DeedMonths+K6*EjectMonths+L6+SellMonths)</f>
        <v>25</v>
      </c>
      <c r="N6" s="30" t="n">
        <f aca="false">IF(A6="","",DeedMonths+K6*EjectMonths+L6+LeaseUpMonths)</f>
        <v>24</v>
      </c>
      <c r="O6" s="31" t="n">
        <f aca="false">IF(A6="","",N(Deals!G6)*IFERROR(INDEX(ScopePSF,MATCH(Deals!O6,ScopeNames,0)),INDEX(ScopePSF,3))*(1+Contingency)+BlindAllowance+N(Deals!P6))</f>
        <v>35200</v>
      </c>
      <c r="P6" s="31" t="n">
        <f aca="false">IF(A6="","",IF(N(Deals!K6)&gt;0,Deals!K6,N(Deals!M6))*TaxRate/12+VacantInsMo+SecuringMo+UtilitiesMo+N(Deals!T6))</f>
        <v>757.80245</v>
      </c>
      <c r="Q6" s="31" t="n">
        <f aca="false">IF(A6="","",SheriffFees+PurchaseTitle+CompelDeedLegal+K6*PossessionCost+N(Deals!R6)+N(Deals!T6)*HOAArrearsMonths)</f>
        <v>17070</v>
      </c>
      <c r="R6" s="31" t="n">
        <f aca="false">IF(A6="","",N(Deals!M6)*(BrokerPct+SellerRTT+SellClosingPct+ConcessionsPct))</f>
        <v>34833.75</v>
      </c>
      <c r="S6" s="31" t="n">
        <f aca="false">IF(A6="","",Q6+O6+P6*M6)</f>
        <v>71215.06125</v>
      </c>
      <c r="T6" s="31" t="n">
        <f aca="false">IF(A6="","",N(Deals!M6)-R6-S6)</f>
        <v>268951.18875</v>
      </c>
      <c r="U6" s="31" t="n">
        <f aca="false">IF(A6="","",MIN(T6-FlipTarget,(T6-FlipMinAnnROI*M6/12*S6)/(1+FlipMinAnnROI*M6/12)))</f>
        <v>187959.224464286</v>
      </c>
      <c r="V6" s="31" t="n">
        <f aca="false">IF(A6="","",IF(N(Deals!S6)=0,MAX(0,(U6)/(1+BuyerPremium)),IF((U6)&gt;=(N(Deals!S6)+SheriffCostsFromBid)/(1-RTTPurchase)*(1+BuyerPremium),(U6)/(1+BuyerPremium),MAX(0,((U6)-N(Deals!S6)-SheriffCostsFromBid)/(BuyerPremium+RTTPurchase)))))</f>
        <v>185181.501935257</v>
      </c>
      <c r="W6" s="31" t="n">
        <f aca="false">IF(A6="","",((V6)*(1+BuyerPremium)+IF(N(Deals!S6)=0,0,MIN(N(Deals!S6),MAX(0,N(Deals!S6)+SheriffCostsFromBid-(V6)*(1-RTTPurchase)))))+S6)</f>
        <v>259174.285714286</v>
      </c>
      <c r="X6" s="31" t="n">
        <f aca="false">IF(A6="","",T6-((V6)*(1+BuyerPremium)+IF(N(Deals!S6)=0,0,MIN(N(Deals!S6),MAX(0,N(Deals!S6)+SheriffCostsFromBid-(V6)*(1-RTTPurchase))))))</f>
        <v>80991.9642857143</v>
      </c>
      <c r="Y6" s="32" t="n">
        <f aca="false">IF(A6="","",IFERROR(X6/W6/(M6/12),0))</f>
        <v>0.15</v>
      </c>
      <c r="Z6" s="31" t="n">
        <f aca="false">IF(A6="","",N(Deals!N6)*12*(1-Vacancy)*(1-MgmtPct-MaintPct-CapexPct)-N(Deals!M6)*TaxRate-MAX(1,N(Deals!J6))*(InsPerUnit+WaterPerUnit)-N(Deals!T6)*12)</f>
        <v>16063.55</v>
      </c>
      <c r="AA6" s="31" t="n">
        <f aca="false">IF(A6="","",Q6+O6+P6*N6)</f>
        <v>70457.2588</v>
      </c>
      <c r="AB6" s="31" t="n">
        <f aca="false">IF(A6="","",MAX(0,MIN(RefiLTV*N(Deals!M6),Z6/(RefiDSCR*12*PMT(RefiRate/12,RefiTerm*12,-1)))))</f>
        <v>163524.346736839</v>
      </c>
      <c r="AC6" s="31" t="n">
        <f aca="false">IF(A6="","",Z6-AB6*12*PMT(RefiRate/12,RefiTerm*12,-1))</f>
        <v>2677.25833333333</v>
      </c>
      <c r="AD6" s="31" t="n">
        <f aca="false">IF(A6="","",IF(N(Deals!S6)=0,MAX(0,(Z6/HoldTarget-AA6)/(1+BuyerPremium)),IF((Z6/HoldTarget-AA6)&gt;=(N(Deals!S6)+SheriffCostsFromBid)/(1-RTTPurchase)*(1+BuyerPremium),(Z6/HoldTarget-AA6)/(1+BuyerPremium),MAX(0,((Z6/HoldTarget-AA6)-N(Deals!S6)-SheriffCostsFromBid)/(BuyerPremium+RTTPurchase)))))</f>
        <v>62468.6284400657</v>
      </c>
      <c r="AE6" s="31" t="n">
        <f aca="false">IF(A6="","",IF(AC6&lt;=0,0,IF(N(Deals!S6)=0,MAX(0,(AC6/HoldTarget+AB6*(1-RefiCostPct)-AA6)/(1+BuyerPremium)),IF((AC6/HoldTarget+AB6*(1-RefiCostPct)-AA6)&gt;=(N(Deals!S6)+SheriffCostsFromBid)/(1-RTTPurchase)*(1+BuyerPremium),(AC6/HoldTarget+AB6*(1-RefiCostPct)-AA6)/(1+BuyerPremium),MAX(0,((AC6/HoldTarget+AB6*(1-RefiCostPct)-AA6)-N(Deals!S6)-SheriffCostsFromBid)/(BuyerPremium+RTTPurchase))))))</f>
        <v>108839.254823492</v>
      </c>
      <c r="AF6" s="31" t="n">
        <f aca="false">IF(A6="","",IF(HoldMeasure="Cash-on-cash",AE6,AD6))</f>
        <v>62468.6284400657</v>
      </c>
      <c r="AG6" s="31" t="n">
        <f aca="false">IF(A6="","",((AF6)*(1+BuyerPremium)+IF(N(Deals!S6)=0,0,MIN(N(Deals!S6),MAX(0,N(Deals!S6)+SheriffCostsFromBid-(AF6)*(1-RTTPurchase)))))+AA6)</f>
        <v>133862.916666667</v>
      </c>
      <c r="AH6" s="32" t="n">
        <f aca="false">IF(A6="","",IFERROR(Z6/AG6,0))</f>
        <v>0.12</v>
      </c>
      <c r="AI6" s="31" t="n">
        <f aca="false">IF(A6="","",AG6-AB6*(1-RefiCostPct))</f>
        <v>-24755.699668067</v>
      </c>
      <c r="AJ6" s="32" t="str">
        <f aca="false">IF(A6="","",IF(AI6&lt;=0,"All cash out",AC6/AI6))</f>
        <v>All cash out</v>
      </c>
      <c r="AK6" s="31" t="n">
        <f aca="false">IF(A6="","",IF(N(Deals!S6)=0,MAX(0,(T6-BuyerMarginPct*N(Deals!M6)-WholesaleMinFee)/(1+BuyerPremium)),IF((T6-BuyerMarginPct*N(Deals!M6)-WholesaleMinFee)&gt;=(N(Deals!S6)+SheriffCostsFromBid)/(1-RTTPurchase)*(1+BuyerPremium),(T6-BuyerMarginPct*N(Deals!M6)-WholesaleMinFee)/(1+BuyerPremium),MAX(0,((T6-BuyerMarginPct*N(Deals!M6)-WholesaleMinFee)-N(Deals!S6)-SheriffCostsFromBid)/(BuyerPremium+RTTPurchase)))))</f>
        <v>194779.496305419</v>
      </c>
      <c r="AL6" s="31" t="str">
        <f aca="false">IF(OR(A6="",N(Deals!U6)=0),"",Deals!U6*N(Deals!W6))</f>
        <v/>
      </c>
      <c r="AM6" s="31" t="str">
        <f aca="false">IF(AL6="","",DemoCost+N(Deals!V6)*BuildCostPSF*(1+SoftCostPct)+P6*(DeedMonths+K6*EjectMonths+BuildMonths+SellMonths)+Q6+AL6*(BrokerPct+SellerRTT+SellClosingPct+ConcessionsPct))</f>
        <v/>
      </c>
      <c r="AN6" s="31" t="str">
        <f aca="false">IF(AL6="","",IF(N(Deals!S6)=0,MAX(0,(AL6-AM6-MAX(FlipTarget,DevMarginPct*AL6))/(1+BuyerPremium)),IF((AL6-AM6-MAX(FlipTarget,DevMarginPct*AL6))&gt;=(N(Deals!S6)+SheriffCostsFromBid)/(1-RTTPurchase)*(1+BuyerPremium),(AL6-AM6-MAX(FlipTarget,DevMarginPct*AL6))/(1+BuyerPremium),MAX(0,((AL6-AM6-MAX(FlipTarget,DevMarginPct*AL6))-N(Deals!S6)-SheriffCostsFromBid)/(BuyerPremium+RTTPurchase)))))</f>
        <v/>
      </c>
    </row>
    <row r="7" customFormat="false" ht="27.75" hidden="false" customHeight="true" outlineLevel="0" collapsed="false">
      <c r="A7" s="27" t="str">
        <f aca="false">IF(Deals!A7="","",Deals!A7)</f>
        <v>1318974-4</v>
      </c>
      <c r="B7" s="1" t="str">
        <f aca="false">IF(A7="","",Deals!B7)</f>
        <v>4 Downside: ARV 365k, Heavy, occupied</v>
      </c>
      <c r="C7" s="26" t="str">
        <f aca="false">IF(A7="","",IF(MAX(V7,AF7)&lt;=0,"Pass",IF(V7&gt;=AF7,"Flip","Value-add hold")))</f>
        <v>Flip</v>
      </c>
      <c r="D7" s="28" t="n">
        <f aca="false">IF(A7="","",MAX(V7,AF7))</f>
        <v>123711.525188834</v>
      </c>
      <c r="E7" s="29" t="str">
        <f aca="false">IF(A7="","",IF(D7&lt;=0,"Pass",IF(N(Deals!D7)&lt;=1,"$1 = awaiting minimum bid; re-check the morning of Nov 3",IF(D7&lt;Deals!D7,"Max bid below opening bid: pass","Room of "&amp;TEXT(D7-Deals!D7,"$#,##0")&amp;" over opening bid"))))</f>
        <v>Room of $99,012 over opening bid</v>
      </c>
      <c r="F7" s="28" t="n">
        <f aca="false">IF(A7="","",IF(C7="Flip",W7,IF(C7="Value-add hold",AG7,0)))</f>
        <v>245255.666666667</v>
      </c>
      <c r="G7" s="29" t="str">
        <f aca="false">IF(A7="","",IF(C7="Flip",TEXT(X7,"$#,##0")&amp;" profit, "&amp;TEXT(Y7,"0%")&amp;"/yr over "&amp;TEXT(M7,"0")&amp;" mo",IF(C7="Value-add hold",TEXT(AH7,"0.0%")&amp;" yield on cost; "&amp;IF(ISNUMBER(AJ7),TEXT(AJ7,"0.0%")&amp;" cash-on-cash after refi","all cash out at refi"),"")))</f>
        <v>$85,839 profit, 15%/yr over 28 mo</v>
      </c>
      <c r="H7" s="26" t="str">
        <f aca="false">IF(A7="","",IF(C7="Flip",IF(W7&lt;=FlipCeiling,"In $300k flip box","Over flip ceiling: needs to be exceptional"),IF(C7="Value-add hold","Value-add","")))</f>
        <v>In $300k flip box</v>
      </c>
      <c r="I7" s="29" t="str">
        <f aca="false">IF(A7="","",TRIM(IF(AK7&gt;D7,"Wholesale assignment supports "&amp;TEXT(AK7,"$#,##0")&amp;". ","")&amp;IF(AND(ISNUMBER(AN7),N(AN7)&gt;D7),"Teardown/new units supports "&amp;TEXT(AN7,"$#,##0")&amp;".","")))</f>
        <v>Wholesale assignment supports $139,563.</v>
      </c>
      <c r="J7" s="29" t="str">
        <f aca="false">IF(A7="","",TRIM(IF(Deals!F7="2nd","Plaintiff is 2nd: add senior mortgage to surviving liens. ",IF(Deals!F7&lt;&gt;"1st","Lien position unconfirmed. ",""))&amp;IF(N(Deals!M7)=0,"No ARV yet. ","")&amp;IF(N(Deals!G7)=0,"No building sf: rehab is allowance only. ","")&amp;IF(AND(N(Deals!S7)&gt;0,D7&gt;0,D7*(1-RTTPurchase)-SheriffCostsFromBid&lt;N(Deals!S7)),"City claims not fully paid at max bid; unpaid part is counted as cost. ","")&amp;IF(K7=1,"Occupancy assumed: +"&amp;TEXT(EjectMonths,"0")&amp;" mo and possession cost. ","")))</f>
        <v>Occupancy assumed: +8 mo and possession cost.</v>
      </c>
      <c r="K7" s="27" t="n">
        <f aca="false">IF(A7="","",IF(OR(Deals!Q7="Occupied",AND(Deals!Q7&lt;&gt;"Vacant",UnknownAsOccupied="Y")),1,0))</f>
        <v>1</v>
      </c>
      <c r="L7" s="30" t="n">
        <f aca="false">IF(A7="","",IFERROR(INDEX(ScopeMonths,MATCH(Deals!O7,ScopeNames,0)),INDEX(ScopeMonths,3)))</f>
        <v>5</v>
      </c>
      <c r="M7" s="30" t="n">
        <f aca="false">IF(A7="","",DeedMonths+K7*EjectMonths+L7+SellMonths)</f>
        <v>28</v>
      </c>
      <c r="N7" s="30" t="n">
        <f aca="false">IF(A7="","",DeedMonths+K7*EjectMonths+L7+LeaseUpMonths)</f>
        <v>27</v>
      </c>
      <c r="O7" s="31" t="n">
        <f aca="false">IF(A7="","",N(Deals!G7)*IFERROR(INDEX(ScopePSF,MATCH(Deals!O7,ScopeNames,0)),INDEX(ScopePSF,3))*(1+Contingency)+BlindAllowance+N(Deals!P7))</f>
        <v>81400</v>
      </c>
      <c r="P7" s="31" t="n">
        <f aca="false">IF(A7="","",IF(N(Deals!K7)&gt;0,Deals!K7,N(Deals!M7))*TaxRate/12+VacantInsMo+SecuringMo+UtilitiesMo+N(Deals!T7))</f>
        <v>757.80245</v>
      </c>
      <c r="Q7" s="31" t="n">
        <f aca="false">IF(A7="","",SheriffFees+PurchaseTitle+CompelDeedLegal+K7*PossessionCost+N(Deals!R7)+N(Deals!T7)*HOAArrearsMonths)</f>
        <v>17070</v>
      </c>
      <c r="R7" s="31" t="n">
        <f aca="false">IF(A7="","",N(Deals!M7)*(BrokerPct+SellerRTT+SellClosingPct+ConcessionsPct))</f>
        <v>33904.85</v>
      </c>
      <c r="S7" s="31" t="n">
        <f aca="false">IF(A7="","",Q7+O7+P7*M7)</f>
        <v>119688.4686</v>
      </c>
      <c r="T7" s="31" t="n">
        <f aca="false">IF(A7="","",N(Deals!M7)-R7-S7)</f>
        <v>211406.6814</v>
      </c>
      <c r="U7" s="31" t="n">
        <f aca="false">IF(A7="","",MIN(T7-FlipTarget,(T7-FlipMinAnnROI*M7/12*S7)/(1+FlipMinAnnROI*M7/12)))</f>
        <v>125567.198066667</v>
      </c>
      <c r="V7" s="31" t="n">
        <f aca="false">IF(A7="","",IF(N(Deals!S7)=0,MAX(0,(U7)/(1+BuyerPremium)),IF((U7)&gt;=(N(Deals!S7)+SheriffCostsFromBid)/(1-RTTPurchase)*(1+BuyerPremium),(U7)/(1+BuyerPremium),MAX(0,((U7)-N(Deals!S7)-SheriffCostsFromBid)/(BuyerPremium+RTTPurchase)))))</f>
        <v>123711.525188834</v>
      </c>
      <c r="W7" s="31" t="n">
        <f aca="false">IF(A7="","",((V7)*(1+BuyerPremium)+IF(N(Deals!S7)=0,0,MIN(N(Deals!S7),MAX(0,N(Deals!S7)+SheriffCostsFromBid-(V7)*(1-RTTPurchase)))))+S7)</f>
        <v>245255.666666667</v>
      </c>
      <c r="X7" s="31" t="n">
        <f aca="false">IF(A7="","",T7-((V7)*(1+BuyerPremium)+IF(N(Deals!S7)=0,0,MIN(N(Deals!S7),MAX(0,N(Deals!S7)+SheriffCostsFromBid-(V7)*(1-RTTPurchase))))))</f>
        <v>85839.4833333334</v>
      </c>
      <c r="Y7" s="32" t="n">
        <f aca="false">IF(A7="","",IFERROR(X7/W7/(M7/12),0))</f>
        <v>0.15</v>
      </c>
      <c r="Z7" s="31" t="n">
        <f aca="false">IF(A7="","",N(Deals!N7)*12*(1-Vacancy)*(1-MgmtPct-MaintPct-CapexPct)-N(Deals!M7)*TaxRate-MAX(1,N(Deals!J7))*(InsPerUnit+WaterPerUnit)-N(Deals!T7)*12)</f>
        <v>16203.53</v>
      </c>
      <c r="AA7" s="31" t="n">
        <f aca="false">IF(A7="","",Q7+O7+P7*N7)</f>
        <v>118930.66615</v>
      </c>
      <c r="AB7" s="31" t="n">
        <f aca="false">IF(A7="","",MAX(0,MIN(RefiLTV*N(Deals!M7),Z7/(RefiDSCR*12*PMT(RefiRate/12,RefiTerm*12,-1)))))</f>
        <v>164949.320547498</v>
      </c>
      <c r="AC7" s="31" t="n">
        <f aca="false">IF(A7="","",Z7-AB7*12*PMT(RefiRate/12,RefiTerm*12,-1))</f>
        <v>2700.58833333333</v>
      </c>
      <c r="AD7" s="31" t="n">
        <f aca="false">IF(A7="","",IF(N(Deals!S7)=0,MAX(0,(Z7/HoldTarget-AA7)/(1+BuyerPremium)),IF((Z7/HoldTarget-AA7)&gt;=(N(Deals!S7)+SheriffCostsFromBid)/(1-RTTPurchase)*(1+BuyerPremium),(Z7/HoldTarget-AA7)/(1+BuyerPremium),MAX(0,((Z7/HoldTarget-AA7)-N(Deals!S7)-SheriffCostsFromBid)/(BuyerPremium+RTTPurchase)))))</f>
        <v>15860.8379474548</v>
      </c>
      <c r="AE7" s="31" t="n">
        <f aca="false">IF(A7="","",IF(AC7&lt;=0,0,IF(N(Deals!S7)=0,MAX(0,(AC7/HoldTarget+AB7*(1-RefiCostPct)-AA7)/(1+BuyerPremium)),IF((AC7/HoldTarget+AB7*(1-RefiCostPct)-AA7)&gt;=(N(Deals!S7)+SheriffCostsFromBid)/(1-RTTPurchase)*(1+BuyerPremium),(AC7/HoldTarget+AB7*(1-RefiCostPct)-AA7)/(1+BuyerPremium),MAX(0,((AC7/HoldTarget+AB7*(1-RefiCostPct)-AA7)-N(Deals!S7)-SheriffCostsFromBid)/(BuyerPremium+RTTPurchase))))))</f>
        <v>62635.5443929569</v>
      </c>
      <c r="AF7" s="31" t="n">
        <f aca="false">IF(A7="","",IF(HoldMeasure="Cash-on-cash",AE7,AD7))</f>
        <v>15860.8379474548</v>
      </c>
      <c r="AG7" s="31" t="n">
        <f aca="false">IF(A7="","",((AF7)*(1+BuyerPremium)+IF(N(Deals!S7)=0,0,MIN(N(Deals!S7),MAX(0,N(Deals!S7)+SheriffCostsFromBid-(AF7)*(1-RTTPurchase)))))+AA7)</f>
        <v>135029.416666667</v>
      </c>
      <c r="AH7" s="32" t="n">
        <f aca="false">IF(A7="","",IFERROR(Z7/AG7,0))</f>
        <v>0.12</v>
      </c>
      <c r="AI7" s="31" t="n">
        <f aca="false">IF(A7="","",AG7-AB7*(1-RefiCostPct))</f>
        <v>-24971.4242644068</v>
      </c>
      <c r="AJ7" s="32" t="str">
        <f aca="false">IF(A7="","",IF(AI7&lt;=0,"All cash out",AC7/AI7))</f>
        <v>All cash out</v>
      </c>
      <c r="AK7" s="31" t="n">
        <f aca="false">IF(A7="","",IF(N(Deals!S7)=0,MAX(0,(T7-BuyerMarginPct*N(Deals!M7)-WholesaleMinFee)/(1+BuyerPremium)),IF((T7-BuyerMarginPct*N(Deals!M7)-WholesaleMinFee)&gt;=(N(Deals!S7)+SheriffCostsFromBid)/(1-RTTPurchase)*(1+BuyerPremium),(T7-BuyerMarginPct*N(Deals!M7)-WholesaleMinFee)/(1+BuyerPremium),MAX(0,((T7-BuyerMarginPct*N(Deals!M7)-WholesaleMinFee)-N(Deals!S7)-SheriffCostsFromBid)/(BuyerPremium+RTTPurchase)))))</f>
        <v>139563.232906404</v>
      </c>
      <c r="AL7" s="31" t="str">
        <f aca="false">IF(OR(A7="",N(Deals!U7)=0),"",Deals!U7*N(Deals!W7))</f>
        <v/>
      </c>
      <c r="AM7" s="31" t="str">
        <f aca="false">IF(AL7="","",DemoCost+N(Deals!V7)*BuildCostPSF*(1+SoftCostPct)+P7*(DeedMonths+K7*EjectMonths+BuildMonths+SellMonths)+Q7+AL7*(BrokerPct+SellerRTT+SellClosingPct+ConcessionsPct))</f>
        <v/>
      </c>
      <c r="AN7" s="31" t="str">
        <f aca="false">IF(AL7="","",IF(N(Deals!S7)=0,MAX(0,(AL7-AM7-MAX(FlipTarget,DevMarginPct*AL7))/(1+BuyerPremium)),IF((AL7-AM7-MAX(FlipTarget,DevMarginPct*AL7))&gt;=(N(Deals!S7)+SheriffCostsFromBid)/(1-RTTPurchase)*(1+BuyerPremium),(AL7-AM7-MAX(FlipTarget,DevMarginPct*AL7))/(1+BuyerPremium),MAX(0,((AL7-AM7-MAX(FlipTarget,DevMarginPct*AL7))-N(Deals!S7)-SheriffCostsFromBid)/(BuyerPremium+RTTPurchase)))))</f>
        <v/>
      </c>
    </row>
    <row r="8" customFormat="false" ht="27.75" hidden="false" customHeight="true" outlineLevel="0" collapsed="false">
      <c r="A8" s="27" t="str">
        <f aca="false">IF(Deals!A8="","",Deals!A8)</f>
        <v>1318974-5</v>
      </c>
      <c r="B8" s="1" t="str">
        <f aca="false">IF(A8="","",Deals!B8)</f>
        <v>5 Upside: ARV 425k, Medium + half bath, occupied</v>
      </c>
      <c r="C8" s="26" t="str">
        <f aca="false">IF(A8="","",IF(MAX(V8,AF8)&lt;=0,"Pass",IF(V8&gt;=AF8,"Flip","Value-add hold")))</f>
        <v>Flip</v>
      </c>
      <c r="D8" s="28" t="n">
        <f aca="false">IF(A8="","",MAX(V8,AF8))</f>
        <v>175356.598641138</v>
      </c>
      <c r="E8" s="29" t="str">
        <f aca="false">IF(A8="","",IF(D8&lt;=0,"Pass",IF(N(Deals!D8)&lt;=1,"$1 = awaiting minimum bid; re-check the morning of Nov 3",IF(D8&lt;Deals!D8,"Max bid below opening bid: pass","Room of "&amp;TEXT(D8-Deals!D8,"$#,##0")&amp;" over opening bid"))))</f>
        <v>Room of $150,657 over opening bid</v>
      </c>
      <c r="F8" s="28" t="n">
        <f aca="false">IF(A8="","",IF(C8="Flip",W8,IF(C8="Value-add hold",AG8,0)))</f>
        <v>290959.811320755</v>
      </c>
      <c r="G8" s="29" t="str">
        <f aca="false">IF(A8="","",IF(C8="Flip",TEXT(X8,"$#,##0")&amp;" profit, "&amp;TEXT(Y8,"0%")&amp;"/yr over "&amp;TEXT(M8,"0")&amp;" mo",IF(C8="Value-add hold",TEXT(AH8,"0.0%")&amp;" yield on cost; "&amp;IF(ISNUMBER(AJ8),TEXT(AJ8,"0.0%")&amp;" cash-on-cash after refi","all cash out at refi"),"")))</f>
        <v>$94,562 profit, 15%/yr over 26 mo</v>
      </c>
      <c r="H8" s="26" t="str">
        <f aca="false">IF(A8="","",IF(C8="Flip",IF(W8&lt;=FlipCeiling,"In $300k flip box","Over flip ceiling: needs to be exceptional"),IF(C8="Value-add hold","Value-add","")))</f>
        <v>In $300k flip box</v>
      </c>
      <c r="I8" s="29" t="str">
        <f aca="false">IF(A8="","",TRIM(IF(AK8&gt;D8,"Wholesale assignment supports "&amp;TEXT(AK8,"$#,##0")&amp;". ","")&amp;IF(AND(ISNUMBER(AN8),N(AN8)&gt;D8),"Teardown/new units supports "&amp;TEXT(AN8,"$#,##0")&amp;".","")))</f>
        <v>Wholesale assignment supports $190,935.</v>
      </c>
      <c r="J8" s="29" t="str">
        <f aca="false">IF(A8="","",TRIM(IF(Deals!F8="2nd","Plaintiff is 2nd: add senior mortgage to surviving liens. ",IF(Deals!F8&lt;&gt;"1st","Lien position unconfirmed. ",""))&amp;IF(N(Deals!M8)=0,"No ARV yet. ","")&amp;IF(N(Deals!G8)=0,"No building sf: rehab is allowance only. ","")&amp;IF(AND(N(Deals!S8)&gt;0,D8&gt;0,D8*(1-RTTPurchase)-SheriffCostsFromBid&lt;N(Deals!S8)),"City claims not fully paid at max bid; unpaid part is counted as cost. ","")&amp;IF(K8=1,"Occupancy assumed: +"&amp;TEXT(EjectMonths,"0")&amp;" mo and possession cost. ","")))</f>
        <v>Occupancy assumed: +8 mo and possession cost.</v>
      </c>
      <c r="K8" s="27" t="n">
        <f aca="false">IF(A8="","",IF(OR(Deals!Q8="Occupied",AND(Deals!Q8&lt;&gt;"Vacant",UnknownAsOccupied="Y")),1,0))</f>
        <v>1</v>
      </c>
      <c r="L8" s="30" t="n">
        <f aca="false">IF(A8="","",IFERROR(INDEX(ScopeMonths,MATCH(Deals!O8,ScopeNames,0)),INDEX(ScopeMonths,3)))</f>
        <v>3</v>
      </c>
      <c r="M8" s="30" t="n">
        <f aca="false">IF(A8="","",DeedMonths+K8*EjectMonths+L8+SellMonths)</f>
        <v>26</v>
      </c>
      <c r="N8" s="30" t="n">
        <f aca="false">IF(A8="","",DeedMonths+K8*EjectMonths+L8+LeaseUpMonths)</f>
        <v>25</v>
      </c>
      <c r="O8" s="31" t="n">
        <f aca="false">IF(A8="","",N(Deals!G8)*IFERROR(INDEX(ScopePSF,MATCH(Deals!O8,ScopeNames,0)),INDEX(ScopePSF,3))*(1+Contingency)+BlindAllowance+N(Deals!P8))</f>
        <v>76200</v>
      </c>
      <c r="P8" s="31" t="n">
        <f aca="false">IF(A8="","",IF(N(Deals!K8)&gt;0,Deals!K8,N(Deals!M8))*TaxRate/12+VacantInsMo+SecuringMo+UtilitiesMo+N(Deals!T8))</f>
        <v>757.80245</v>
      </c>
      <c r="Q8" s="31" t="n">
        <f aca="false">IF(A8="","",SheriffFees+PurchaseTitle+CompelDeedLegal+K8*PossessionCost+N(Deals!R8)+N(Deals!T8)*HOAArrearsMonths)</f>
        <v>17070</v>
      </c>
      <c r="R8" s="31" t="n">
        <f aca="false">IF(A8="","",N(Deals!M8)*(BrokerPct+SellerRTT+SellClosingPct+ConcessionsPct))</f>
        <v>39478.25</v>
      </c>
      <c r="S8" s="31" t="n">
        <f aca="false">IF(A8="","",Q8+O8+P8*M8)</f>
        <v>112972.8637</v>
      </c>
      <c r="T8" s="31" t="n">
        <f aca="false">IF(A8="","",N(Deals!M8)-R8-S8)</f>
        <v>272548.8863</v>
      </c>
      <c r="U8" s="31" t="n">
        <f aca="false">IF(A8="","",MIN(T8-FlipTarget,(T8-FlipMinAnnROI*M8/12*S8)/(1+FlipMinAnnROI*M8/12)))</f>
        <v>177986.947620755</v>
      </c>
      <c r="V8" s="31" t="n">
        <f aca="false">IF(A8="","",IF(N(Deals!S8)=0,MAX(0,(U8)/(1+BuyerPremium)),IF((U8)&gt;=(N(Deals!S8)+SheriffCostsFromBid)/(1-RTTPurchase)*(1+BuyerPremium),(U8)/(1+BuyerPremium),MAX(0,((U8)-N(Deals!S8)-SheriffCostsFromBid)/(BuyerPremium+RTTPurchase)))))</f>
        <v>175356.598641138</v>
      </c>
      <c r="W8" s="31" t="n">
        <f aca="false">IF(A8="","",((V8)*(1+BuyerPremium)+IF(N(Deals!S8)=0,0,MIN(N(Deals!S8),MAX(0,N(Deals!S8)+SheriffCostsFromBid-(V8)*(1-RTTPurchase)))))+S8)</f>
        <v>290959.811320755</v>
      </c>
      <c r="X8" s="31" t="n">
        <f aca="false">IF(A8="","",T8-((V8)*(1+BuyerPremium)+IF(N(Deals!S8)=0,0,MIN(N(Deals!S8),MAX(0,N(Deals!S8)+SheriffCostsFromBid-(V8)*(1-RTTPurchase))))))</f>
        <v>94561.9386792453</v>
      </c>
      <c r="Y8" s="32" t="n">
        <f aca="false">IF(A8="","",IFERROR(X8/W8/(M8/12),0))</f>
        <v>0.15</v>
      </c>
      <c r="Z8" s="31" t="n">
        <f aca="false">IF(A8="","",N(Deals!N8)*12*(1-Vacancy)*(1-MgmtPct-MaintPct-CapexPct)-N(Deals!M8)*TaxRate-MAX(1,N(Deals!J8))*(InsPerUnit+WaterPerUnit)-N(Deals!T8)*12)</f>
        <v>15363.65</v>
      </c>
      <c r="AA8" s="31" t="n">
        <f aca="false">IF(A8="","",Q8+O8+P8*N8)</f>
        <v>112215.06125</v>
      </c>
      <c r="AB8" s="31" t="n">
        <f aca="false">IF(A8="","",MAX(0,MIN(RefiLTV*N(Deals!M8),Z8/(RefiDSCR*12*PMT(RefiRate/12,RefiTerm*12,-1)))))</f>
        <v>156399.47768354</v>
      </c>
      <c r="AC8" s="31" t="n">
        <f aca="false">IF(A8="","",Z8-AB8*12*PMT(RefiRate/12,RefiTerm*12,-1))</f>
        <v>2560.60833333333</v>
      </c>
      <c r="AD8" s="31" t="n">
        <f aca="false">IF(A8="","",IF(N(Deals!S8)=0,MAX(0,(Z8/HoldTarget-AA8)/(1+BuyerPremium)),IF((Z8/HoldTarget-AA8)&gt;=(N(Deals!S8)+SheriffCostsFromBid)/(1-RTTPurchase)*(1+BuyerPremium),(Z8/HoldTarget-AA8)/(1+BuyerPremium),MAX(0,((Z8/HoldTarget-AA8)-N(Deals!S8)-SheriffCostsFromBid)/(BuyerPremium+RTTPurchase)))))</f>
        <v>15581.630952381</v>
      </c>
      <c r="AE8" s="31" t="n">
        <f aca="false">IF(A8="","",IF(AC8&lt;=0,0,IF(N(Deals!S8)=0,MAX(0,(AC8/HoldTarget+AB8*(1-RefiCostPct)-AA8)/(1+BuyerPremium)),IF((AC8/HoldTarget+AB8*(1-RefiCostPct)-AA8)&gt;=(N(Deals!S8)+SheriffCostsFromBid)/(1-RTTPurchase)*(1+BuyerPremium),(AC8/HoldTarget+AB8*(1-RefiCostPct)-AA8)/(1+BuyerPremium),MAX(0,((AC8/HoldTarget+AB8*(1-RefiCostPct)-AA8)-N(Deals!S8)-SheriffCostsFromBid)/(BuyerPremium+RTTPurchase))))))</f>
        <v>59931.8570254304</v>
      </c>
      <c r="AF8" s="31" t="n">
        <f aca="false">IF(A8="","",IF(HoldMeasure="Cash-on-cash",AE8,AD8))</f>
        <v>15581.630952381</v>
      </c>
      <c r="AG8" s="31" t="n">
        <f aca="false">IF(A8="","",((AF8)*(1+BuyerPremium)+IF(N(Deals!S8)=0,0,MIN(N(Deals!S8),MAX(0,N(Deals!S8)+SheriffCostsFromBid-(AF8)*(1-RTTPurchase)))))+AA8)</f>
        <v>128030.416666667</v>
      </c>
      <c r="AH8" s="32" t="n">
        <f aca="false">IF(A8="","",IFERROR(Z8/AG8,0))</f>
        <v>0.12</v>
      </c>
      <c r="AI8" s="31" t="n">
        <f aca="false">IF(A8="","",AG8-AB8*(1-RefiCostPct))</f>
        <v>-23677.0766863674</v>
      </c>
      <c r="AJ8" s="32" t="str">
        <f aca="false">IF(A8="","",IF(AI8&lt;=0,"All cash out",AC8/AI8))</f>
        <v>All cash out</v>
      </c>
      <c r="AK8" s="31" t="n">
        <f aca="false">IF(A8="","",IF(N(Deals!S8)=0,MAX(0,(T8-BuyerMarginPct*N(Deals!M8)-WholesaleMinFee)/(1+BuyerPremium)),IF((T8-BuyerMarginPct*N(Deals!M8)-WholesaleMinFee)&gt;=(N(Deals!S8)+SheriffCostsFromBid)/(1-RTTPurchase)*(1+BuyerPremium),(T8-BuyerMarginPct*N(Deals!M8)-WholesaleMinFee)/(1+BuyerPremium),MAX(0,((T8-BuyerMarginPct*N(Deals!M8)-WholesaleMinFee)-N(Deals!S8)-SheriffCostsFromBid)/(BuyerPremium+RTTPurchase)))))</f>
        <v>190934.863349754</v>
      </c>
      <c r="AL8" s="31" t="str">
        <f aca="false">IF(OR(A8="",N(Deals!U8)=0),"",Deals!U8*N(Deals!W8))</f>
        <v/>
      </c>
      <c r="AM8" s="31" t="str">
        <f aca="false">IF(AL8="","",DemoCost+N(Deals!V8)*BuildCostPSF*(1+SoftCostPct)+P8*(DeedMonths+K8*EjectMonths+BuildMonths+SellMonths)+Q8+AL8*(BrokerPct+SellerRTT+SellClosingPct+ConcessionsPct))</f>
        <v/>
      </c>
      <c r="AN8" s="31" t="str">
        <f aca="false">IF(AL8="","",IF(N(Deals!S8)=0,MAX(0,(AL8-AM8-MAX(FlipTarget,DevMarginPct*AL8))/(1+BuyerPremium)),IF((AL8-AM8-MAX(FlipTarget,DevMarginPct*AL8))&gt;=(N(Deals!S8)+SheriffCostsFromBid)/(1-RTTPurchase)*(1+BuyerPremium),(AL8-AM8-MAX(FlipTarget,DevMarginPct*AL8))/(1+BuyerPremium),MAX(0,((AL8-AM8-MAX(FlipTarget,DevMarginPct*AL8))-N(Deals!S8)-SheriffCostsFromBid)/(BuyerPremium+RTTPurchase)))))</f>
        <v/>
      </c>
    </row>
    <row r="9" customFormat="false" ht="27.75" hidden="false" customHeight="true" outlineLevel="0" collapsed="false">
      <c r="A9" s="27" t="str">
        <f aca="false">IF(Deals!A9="","",Deals!A9)</f>
        <v>1318974-6</v>
      </c>
      <c r="B9" s="1" t="str">
        <f aca="false">IF(A9="","",Deals!B9)</f>
        <v>6 Slow ejectment proxy: ARV 395k, Medium, occupied, Heavy timeline</v>
      </c>
      <c r="C9" s="26" t="str">
        <f aca="false">IF(A9="","",IF(MAX(V9,AF9)&lt;=0,"Pass",IF(V9&gt;=AF9,"Flip","Value-add hold")))</f>
        <v>Flip</v>
      </c>
      <c r="D9" s="28" t="n">
        <f aca="false">IF(A9="","",MAX(V9,AF9))</f>
        <v>143571.623711002</v>
      </c>
      <c r="E9" s="29" t="str">
        <f aca="false">IF(A9="","",IF(D9&lt;=0,"Pass",IF(N(Deals!D9)&lt;=1,"$1 = awaiting minimum bid; re-check the morning of Nov 3",IF(D9&lt;Deals!D9,"Max bid below opening bid: pass","Room of "&amp;TEXT(D9-Deals!D9,"$#,##0")&amp;" over opening bid"))))</f>
        <v>Room of $118,872 over opening bid</v>
      </c>
      <c r="F9" s="28" t="n">
        <f aca="false">IF(A9="","",IF(C9="Flip",W9,IF(C9="Value-add hold",AG9,0)))</f>
        <v>265413.666666667</v>
      </c>
      <c r="G9" s="29" t="str">
        <f aca="false">IF(A9="","",IF(C9="Flip",TEXT(X9,"$#,##0")&amp;" profit, "&amp;TEXT(Y9,"0%")&amp;"/yr over "&amp;TEXT(M9,"0")&amp;" mo",IF(C9="Value-add hold",TEXT(AH9,"0.0%")&amp;" yield on cost; "&amp;IF(ISNUMBER(AJ9),TEXT(AJ9,"0.0%")&amp;" cash-on-cash after refi","all cash out at refi"),"")))</f>
        <v>$92,895 profit, 15%/yr over 28 mo</v>
      </c>
      <c r="H9" s="26" t="str">
        <f aca="false">IF(A9="","",IF(C9="Flip",IF(W9&lt;=FlipCeiling,"In $300k flip box","Over flip ceiling: needs to be exceptional"),IF(C9="Value-add hold","Value-add","")))</f>
        <v>In $300k flip box</v>
      </c>
      <c r="I9" s="29" t="str">
        <f aca="false">IF(A9="","",TRIM(IF(AK9&gt;D9,"Wholesale assignment supports "&amp;TEXT(AK9,"$#,##0")&amp;". ","")&amp;IF(AND(ISNUMBER(AN9),N(AN9)&gt;D9),"Teardown/new units supports "&amp;TEXT(AN9,"$#,##0")&amp;".","")))</f>
        <v>Wholesale assignment supports $161,941.</v>
      </c>
      <c r="J9" s="29" t="str">
        <f aca="false">IF(A9="","",TRIM(IF(Deals!F9="2nd","Plaintiff is 2nd: add senior mortgage to surviving liens. ",IF(Deals!F9&lt;&gt;"1st","Lien position unconfirmed. ",""))&amp;IF(N(Deals!M9)=0,"No ARV yet. ","")&amp;IF(N(Deals!G9)=0,"No building sf: rehab is allowance only. ","")&amp;IF(AND(N(Deals!S9)&gt;0,D9&gt;0,D9*(1-RTTPurchase)-SheriffCostsFromBid&lt;N(Deals!S9)),"City claims not fully paid at max bid; unpaid part is counted as cost. ","")&amp;IF(K9=1,"Occupancy assumed: +"&amp;TEXT(EjectMonths,"0")&amp;" mo and possession cost. ","")))</f>
        <v>Occupancy assumed: +8 mo and possession cost.</v>
      </c>
      <c r="K9" s="27" t="n">
        <f aca="false">IF(A9="","",IF(OR(Deals!Q9="Occupied",AND(Deals!Q9&lt;&gt;"Vacant",UnknownAsOccupied="Y")),1,0))</f>
        <v>1</v>
      </c>
      <c r="L9" s="30" t="n">
        <f aca="false">IF(A9="","",IFERROR(INDEX(ScopeMonths,MATCH(Deals!O9,ScopeNames,0)),INDEX(ScopeMonths,3)))</f>
        <v>5</v>
      </c>
      <c r="M9" s="30" t="n">
        <f aca="false">IF(A9="","",DeedMonths+K9*EjectMonths+L9+SellMonths)</f>
        <v>28</v>
      </c>
      <c r="N9" s="30" t="n">
        <f aca="false">IF(A9="","",DeedMonths+K9*EjectMonths+L9+LeaseUpMonths)</f>
        <v>27</v>
      </c>
      <c r="O9" s="31" t="n">
        <f aca="false">IF(A9="","",N(Deals!G9)*IFERROR(INDEX(ScopePSF,MATCH(Deals!O9,ScopeNames,0)),INDEX(ScopePSF,3))*(1+Contingency)+BlindAllowance+N(Deals!P9))</f>
        <v>81400</v>
      </c>
      <c r="P9" s="31" t="n">
        <f aca="false">IF(A9="","",IF(N(Deals!K9)&gt;0,Deals!K9,N(Deals!M9))*TaxRate/12+VacantInsMo+SecuringMo+UtilitiesMo+N(Deals!T9))</f>
        <v>757.80245</v>
      </c>
      <c r="Q9" s="31" t="n">
        <f aca="false">IF(A9="","",SheriffFees+PurchaseTitle+CompelDeedLegal+K9*PossessionCost+N(Deals!R9)+N(Deals!T9)*HOAArrearsMonths)</f>
        <v>17070</v>
      </c>
      <c r="R9" s="31" t="n">
        <f aca="false">IF(A9="","",N(Deals!M9)*(BrokerPct+SellerRTT+SellClosingPct+ConcessionsPct))</f>
        <v>36691.55</v>
      </c>
      <c r="S9" s="31" t="n">
        <f aca="false">IF(A9="","",Q9+O9+P9*M9)</f>
        <v>119688.4686</v>
      </c>
      <c r="T9" s="31" t="n">
        <f aca="false">IF(A9="","",N(Deals!M9)-R9-S9)</f>
        <v>238619.9814</v>
      </c>
      <c r="U9" s="31" t="n">
        <f aca="false">IF(A9="","",MIN(T9-FlipTarget,(T9-FlipMinAnnROI*M9/12*S9)/(1+FlipMinAnnROI*M9/12)))</f>
        <v>145725.198066667</v>
      </c>
      <c r="V9" s="31" t="n">
        <f aca="false">IF(A9="","",IF(N(Deals!S9)=0,MAX(0,(U9)/(1+BuyerPremium)),IF((U9)&gt;=(N(Deals!S9)+SheriffCostsFromBid)/(1-RTTPurchase)*(1+BuyerPremium),(U9)/(1+BuyerPremium),MAX(0,((U9)-N(Deals!S9)-SheriffCostsFromBid)/(BuyerPremium+RTTPurchase)))))</f>
        <v>143571.623711002</v>
      </c>
      <c r="W9" s="31" t="n">
        <f aca="false">IF(A9="","",((V9)*(1+BuyerPremium)+IF(N(Deals!S9)=0,0,MIN(N(Deals!S9),MAX(0,N(Deals!S9)+SheriffCostsFromBid-(V9)*(1-RTTPurchase)))))+S9)</f>
        <v>265413.666666667</v>
      </c>
      <c r="X9" s="31" t="n">
        <f aca="false">IF(A9="","",T9-((V9)*(1+BuyerPremium)+IF(N(Deals!S9)=0,0,MIN(N(Deals!S9),MAX(0,N(Deals!S9)+SheriffCostsFromBid-(V9)*(1-RTTPurchase))))))</f>
        <v>92894.7833333334</v>
      </c>
      <c r="Y9" s="32" t="n">
        <f aca="false">IF(A9="","",IFERROR(X9/W9/(M9/12),0))</f>
        <v>0.15</v>
      </c>
      <c r="Z9" s="31" t="n">
        <f aca="false">IF(A9="","",N(Deals!N9)*12*(1-Vacancy)*(1-MgmtPct-MaintPct-CapexPct)-N(Deals!M9)*TaxRate-MAX(1,N(Deals!J9))*(InsPerUnit+WaterPerUnit)-N(Deals!T9)*12)</f>
        <v>15783.59</v>
      </c>
      <c r="AA9" s="31" t="n">
        <f aca="false">IF(A9="","",Q9+O9+P9*N9)</f>
        <v>118930.66615</v>
      </c>
      <c r="AB9" s="31" t="n">
        <f aca="false">IF(A9="","",MAX(0,MIN(RefiLTV*N(Deals!M9),Z9/(RefiDSCR*12*PMT(RefiRate/12,RefiTerm*12,-1)))))</f>
        <v>160674.399115519</v>
      </c>
      <c r="AC9" s="31" t="n">
        <f aca="false">IF(A9="","",Z9-AB9*12*PMT(RefiRate/12,RefiTerm*12,-1))</f>
        <v>2630.59833333333</v>
      </c>
      <c r="AD9" s="31" t="n">
        <f aca="false">IF(A9="","",IF(N(Deals!S9)=0,MAX(0,(Z9/HoldTarget-AA9)/(1+BuyerPremium)),IF((Z9/HoldTarget-AA9)&gt;=(N(Deals!S9)+SheriffCostsFromBid)/(1-RTTPurchase)*(1+BuyerPremium),(Z9/HoldTarget-AA9)/(1+BuyerPremium),MAX(0,((Z9/HoldTarget-AA9)-N(Deals!S9)-SheriffCostsFromBid)/(BuyerPremium+RTTPurchase)))))</f>
        <v>12413.0546962233</v>
      </c>
      <c r="AE9" s="31" t="n">
        <f aca="false">IF(A9="","",IF(AC9&lt;=0,0,IF(N(Deals!S9)=0,MAX(0,(AC9/HoldTarget+AB9*(1-RefiCostPct)-AA9)/(1+BuyerPremium)),IF((AC9/HoldTarget+AB9*(1-RefiCostPct)-AA9)&gt;=(N(Deals!S9)+SheriffCostsFromBid)/(1-RTTPurchase)*(1+BuyerPremium),(AC9/HoldTarget+AB9*(1-RefiCostPct)-AA9)/(1+BuyerPremium),MAX(0,((AC9/HoldTarget+AB9*(1-RefiCostPct)-AA9)-N(Deals!S9)-SheriffCostsFromBid)/(BuyerPremium+RTTPurchase))))))</f>
        <v>57975.5209554991</v>
      </c>
      <c r="AF9" s="31" t="n">
        <f aca="false">IF(A9="","",IF(HoldMeasure="Cash-on-cash",AE9,AD9))</f>
        <v>12413.0546962233</v>
      </c>
      <c r="AG9" s="31" t="n">
        <f aca="false">IF(A9="","",((AF9)*(1+BuyerPremium)+IF(N(Deals!S9)=0,0,MIN(N(Deals!S9),MAX(0,N(Deals!S9)+SheriffCostsFromBid-(AF9)*(1-RTTPurchase)))))+AA9)</f>
        <v>131529.916666667</v>
      </c>
      <c r="AH9" s="32" t="n">
        <f aca="false">IF(A9="","",IFERROR(Z9/AG9,0))</f>
        <v>0.12</v>
      </c>
      <c r="AI9" s="31" t="n">
        <f aca="false">IF(A9="","",AG9-AB9*(1-RefiCostPct))</f>
        <v>-24324.2504753871</v>
      </c>
      <c r="AJ9" s="32" t="str">
        <f aca="false">IF(A9="","",IF(AI9&lt;=0,"All cash out",AC9/AI9))</f>
        <v>All cash out</v>
      </c>
      <c r="AK9" s="31" t="n">
        <f aca="false">IF(A9="","",IF(N(Deals!S9)=0,MAX(0,(T9-BuyerMarginPct*N(Deals!M9)-WholesaleMinFee)/(1+BuyerPremium)),IF((T9-BuyerMarginPct*N(Deals!M9)-WholesaleMinFee)&gt;=(N(Deals!S9)+SheriffCostsFromBid)/(1-RTTPurchase)*(1+BuyerPremium),(T9-BuyerMarginPct*N(Deals!M9)-WholesaleMinFee)/(1+BuyerPremium),MAX(0,((T9-BuyerMarginPct*N(Deals!M9)-WholesaleMinFee)-N(Deals!S9)-SheriffCostsFromBid)/(BuyerPremium+RTTPurchase)))))</f>
        <v>161940.868374384</v>
      </c>
      <c r="AL9" s="31" t="str">
        <f aca="false">IF(OR(A9="",N(Deals!U9)=0),"",Deals!U9*N(Deals!W9))</f>
        <v/>
      </c>
      <c r="AM9" s="31" t="str">
        <f aca="false">IF(AL9="","",DemoCost+N(Deals!V9)*BuildCostPSF*(1+SoftCostPct)+P9*(DeedMonths+K9*EjectMonths+BuildMonths+SellMonths)+Q9+AL9*(BrokerPct+SellerRTT+SellClosingPct+ConcessionsPct))</f>
        <v/>
      </c>
      <c r="AN9" s="31" t="str">
        <f aca="false">IF(AL9="","",IF(N(Deals!S9)=0,MAX(0,(AL9-AM9-MAX(FlipTarget,DevMarginPct*AL9))/(1+BuyerPremium)),IF((AL9-AM9-MAX(FlipTarget,DevMarginPct*AL9))&gt;=(N(Deals!S9)+SheriffCostsFromBid)/(1-RTTPurchase)*(1+BuyerPremium),(AL9-AM9-MAX(FlipTarget,DevMarginPct*AL9))/(1+BuyerPremium),MAX(0,((AL9-AM9-MAX(FlipTarget,DevMarginPct*AL9))-N(Deals!S9)-SheriffCostsFromBid)/(BuyerPremium+RTTPurchase)))))</f>
        <v/>
      </c>
    </row>
    <row r="10" customFormat="false" ht="15" hidden="false" customHeight="true" outlineLevel="0" collapsed="false">
      <c r="A10" s="27" t="str">
        <f aca="false">IF(Deals!A10="","",Deals!A10)</f>
        <v/>
      </c>
      <c r="B10" s="1" t="str">
        <f aca="false">IF(A10="","",Deals!B10)</f>
        <v/>
      </c>
      <c r="C10" s="26" t="str">
        <f aca="false">IF(A10="","",IF(MAX(V10,AF10)&lt;=0,"Pass",IF(V10&gt;=AF10,"Flip","Value-add hold")))</f>
        <v/>
      </c>
      <c r="D10" s="28" t="str">
        <f aca="false">IF(A10="","",MAX(V10,AF10))</f>
        <v/>
      </c>
      <c r="E10" s="29" t="str">
        <f aca="false">IF(A10="","",IF(D10&lt;=0,"Pass",IF(N(Deals!D10)&lt;=1,"$1 = awaiting minimum bid; re-check the morning of Nov 3",IF(D10&lt;Deals!D10,"Max bid below opening bid: pass","Room of "&amp;TEXT(D10-Deals!D10,"$#,##0")&amp;" over opening bid"))))</f>
        <v/>
      </c>
      <c r="F10" s="28" t="str">
        <f aca="false">IF(A10="","",IF(C10="Flip",W10,IF(C10="Value-add hold",AG10,0)))</f>
        <v/>
      </c>
      <c r="G10" s="29" t="str">
        <f aca="false">IF(A10="","",IF(C10="Flip",TEXT(X10,"$#,##0")&amp;" profit, "&amp;TEXT(Y10,"0%")&amp;"/yr over "&amp;TEXT(M10,"0")&amp;" mo",IF(C10="Value-add hold",TEXT(AH10,"0.0%")&amp;" yield on cost; "&amp;IF(ISNUMBER(AJ10),TEXT(AJ10,"0.0%")&amp;" cash-on-cash after refi","all cash out at refi"),"")))</f>
        <v/>
      </c>
      <c r="H10" s="26" t="str">
        <f aca="false">IF(A10="","",IF(C10="Flip",IF(W10&lt;=FlipCeiling,"In $300k flip box","Over flip ceiling: needs to be exceptional"),IF(C10="Value-add hold","Value-add","")))</f>
        <v/>
      </c>
      <c r="I10" s="29" t="str">
        <f aca="false">IF(A10="","",TRIM(IF(AK10&gt;D10,"Wholesale assignment supports "&amp;TEXT(AK10,"$#,##0")&amp;". ","")&amp;IF(AND(ISNUMBER(AN10),N(AN10)&gt;D10),"Teardown/new units supports "&amp;TEXT(AN10,"$#,##0")&amp;".","")))</f>
        <v/>
      </c>
      <c r="J10" s="29" t="str">
        <f aca="false">IF(A10="","",TRIM(IF(Deals!F10="2nd","Plaintiff is 2nd: add senior mortgage to surviving liens. ",IF(Deals!F10&lt;&gt;"1st","Lien position unconfirmed. ",""))&amp;IF(N(Deals!M10)=0,"No ARV yet. ","")&amp;IF(N(Deals!G10)=0,"No building sf: rehab is allowance only. ","")&amp;IF(AND(N(Deals!S10)&gt;0,D10&gt;0,D10*(1-RTTPurchase)-SheriffCostsFromBid&lt;N(Deals!S10)),"City claims not fully paid at max bid; unpaid part is counted as cost. ","")&amp;IF(K10=1,"Occupancy assumed: +"&amp;TEXT(EjectMonths,"0")&amp;" mo and possession cost. ","")))</f>
        <v/>
      </c>
      <c r="K10" s="27" t="str">
        <f aca="false">IF(A10="","",IF(OR(Deals!Q10="Occupied",AND(Deals!Q10&lt;&gt;"Vacant",UnknownAsOccupied="Y")),1,0))</f>
        <v/>
      </c>
      <c r="L10" s="30" t="str">
        <f aca="false">IF(A10="","",IFERROR(INDEX(ScopeMonths,MATCH(Deals!O10,ScopeNames,0)),INDEX(ScopeMonths,3)))</f>
        <v/>
      </c>
      <c r="M10" s="30" t="str">
        <f aca="false">IF(A10="","",DeedMonths+K10*EjectMonths+L10+SellMonths)</f>
        <v/>
      </c>
      <c r="N10" s="30" t="str">
        <f aca="false">IF(A10="","",DeedMonths+K10*EjectMonths+L10+LeaseUpMonths)</f>
        <v/>
      </c>
      <c r="O10" s="31" t="str">
        <f aca="false">IF(A10="","",N(Deals!G10)*IFERROR(INDEX(ScopePSF,MATCH(Deals!O10,ScopeNames,0)),INDEX(ScopePSF,3))*(1+Contingency)+BlindAllowance+N(Deals!P10))</f>
        <v/>
      </c>
      <c r="P10" s="31" t="str">
        <f aca="false">IF(A10="","",IF(N(Deals!K10)&gt;0,Deals!K10,N(Deals!M10))*TaxRate/12+VacantInsMo+SecuringMo+UtilitiesMo+N(Deals!T10))</f>
        <v/>
      </c>
      <c r="Q10" s="31" t="str">
        <f aca="false">IF(A10="","",SheriffFees+PurchaseTitle+CompelDeedLegal+K10*PossessionCost+N(Deals!R10)+N(Deals!T10)*HOAArrearsMonths)</f>
        <v/>
      </c>
      <c r="R10" s="31" t="str">
        <f aca="false">IF(A10="","",N(Deals!M10)*(BrokerPct+SellerRTT+SellClosingPct+ConcessionsPct))</f>
        <v/>
      </c>
      <c r="S10" s="31" t="str">
        <f aca="false">IF(A10="","",Q10+O10+P10*M10)</f>
        <v/>
      </c>
      <c r="T10" s="31" t="str">
        <f aca="false">IF(A10="","",N(Deals!M10)-R10-S10)</f>
        <v/>
      </c>
      <c r="U10" s="31" t="str">
        <f aca="false">IF(A10="","",MIN(T10-FlipTarget,(T10-FlipMinAnnROI*M10/12*S10)/(1+FlipMinAnnROI*M10/12)))</f>
        <v/>
      </c>
      <c r="V10" s="31" t="str">
        <f aca="false">IF(A10="","",IF(N(Deals!S10)=0,MAX(0,(U10)/(1+BuyerPremium)),IF((U10)&gt;=(N(Deals!S10)+SheriffCostsFromBid)/(1-RTTPurchase)*(1+BuyerPremium),(U10)/(1+BuyerPremium),MAX(0,((U10)-N(Deals!S10)-SheriffCostsFromBid)/(BuyerPremium+RTTPurchase)))))</f>
        <v/>
      </c>
      <c r="W10" s="31" t="str">
        <f aca="false">IF(A10="","",((V10)*(1+BuyerPremium)+IF(N(Deals!S10)=0,0,MIN(N(Deals!S10),MAX(0,N(Deals!S10)+SheriffCostsFromBid-(V10)*(1-RTTPurchase)))))+S10)</f>
        <v/>
      </c>
      <c r="X10" s="31" t="str">
        <f aca="false">IF(A10="","",T10-((V10)*(1+BuyerPremium)+IF(N(Deals!S10)=0,0,MIN(N(Deals!S10),MAX(0,N(Deals!S10)+SheriffCostsFromBid-(V10)*(1-RTTPurchase))))))</f>
        <v/>
      </c>
      <c r="Y10" s="32" t="str">
        <f aca="false">IF(A10="","",IFERROR(X10/W10/(M10/12),0))</f>
        <v/>
      </c>
      <c r="Z10" s="31" t="str">
        <f aca="false">IF(A10="","",N(Deals!N10)*12*(1-Vacancy)*(1-MgmtPct-MaintPct-CapexPct)-N(Deals!M10)*TaxRate-MAX(1,N(Deals!J10))*(InsPerUnit+WaterPerUnit)-N(Deals!T10)*12)</f>
        <v/>
      </c>
      <c r="AA10" s="31" t="str">
        <f aca="false">IF(A10="","",Q10+O10+P10*N10)</f>
        <v/>
      </c>
      <c r="AB10" s="31" t="str">
        <f aca="false">IF(A10="","",MAX(0,MIN(RefiLTV*N(Deals!M10),Z10/(RefiDSCR*12*PMT(RefiRate/12,RefiTerm*12,-1)))))</f>
        <v/>
      </c>
      <c r="AC10" s="31" t="str">
        <f aca="false">IF(A10="","",Z10-AB10*12*PMT(RefiRate/12,RefiTerm*12,-1))</f>
        <v/>
      </c>
      <c r="AD10" s="31" t="str">
        <f aca="false">IF(A10="","",IF(N(Deals!S10)=0,MAX(0,(Z10/HoldTarget-AA10)/(1+BuyerPremium)),IF((Z10/HoldTarget-AA10)&gt;=(N(Deals!S10)+SheriffCostsFromBid)/(1-RTTPurchase)*(1+BuyerPremium),(Z10/HoldTarget-AA10)/(1+BuyerPremium),MAX(0,((Z10/HoldTarget-AA10)-N(Deals!S10)-SheriffCostsFromBid)/(BuyerPremium+RTTPurchase)))))</f>
        <v/>
      </c>
      <c r="AE10" s="31" t="str">
        <f aca="false">IF(A10="","",IF(AC10&lt;=0,0,IF(N(Deals!S10)=0,MAX(0,(AC10/HoldTarget+AB10*(1-RefiCostPct)-AA10)/(1+BuyerPremium)),IF((AC10/HoldTarget+AB10*(1-RefiCostPct)-AA10)&gt;=(N(Deals!S10)+SheriffCostsFromBid)/(1-RTTPurchase)*(1+BuyerPremium),(AC10/HoldTarget+AB10*(1-RefiCostPct)-AA10)/(1+BuyerPremium),MAX(0,((AC10/HoldTarget+AB10*(1-RefiCostPct)-AA10)-N(Deals!S10)-SheriffCostsFromBid)/(BuyerPremium+RTTPurchase))))))</f>
        <v/>
      </c>
      <c r="AF10" s="31" t="str">
        <f aca="false">IF(A10="","",IF(HoldMeasure="Cash-on-cash",AE10,AD10))</f>
        <v/>
      </c>
      <c r="AG10" s="31" t="str">
        <f aca="false">IF(A10="","",((AF10)*(1+BuyerPremium)+IF(N(Deals!S10)=0,0,MIN(N(Deals!S10),MAX(0,N(Deals!S10)+SheriffCostsFromBid-(AF10)*(1-RTTPurchase)))))+AA10)</f>
        <v/>
      </c>
      <c r="AH10" s="32" t="str">
        <f aca="false">IF(A10="","",IFERROR(Z10/AG10,0))</f>
        <v/>
      </c>
      <c r="AI10" s="31" t="str">
        <f aca="false">IF(A10="","",AG10-AB10*(1-RefiCostPct))</f>
        <v/>
      </c>
      <c r="AJ10" s="32" t="str">
        <f aca="false">IF(A10="","",IF(AI10&lt;=0,"All cash out",AC10/AI10))</f>
        <v/>
      </c>
      <c r="AK10" s="31" t="str">
        <f aca="false">IF(A10="","",IF(N(Deals!S10)=0,MAX(0,(T10-BuyerMarginPct*N(Deals!M10)-WholesaleMinFee)/(1+BuyerPremium)),IF((T10-BuyerMarginPct*N(Deals!M10)-WholesaleMinFee)&gt;=(N(Deals!S10)+SheriffCostsFromBid)/(1-RTTPurchase)*(1+BuyerPremium),(T10-BuyerMarginPct*N(Deals!M10)-WholesaleMinFee)/(1+BuyerPremium),MAX(0,((T10-BuyerMarginPct*N(Deals!M10)-WholesaleMinFee)-N(Deals!S10)-SheriffCostsFromBid)/(BuyerPremium+RTTPurchase)))))</f>
        <v/>
      </c>
      <c r="AL10" s="31" t="str">
        <f aca="false">IF(OR(A10="",N(Deals!U10)=0),"",Deals!U10*N(Deals!W10))</f>
        <v/>
      </c>
      <c r="AM10" s="31" t="str">
        <f aca="false">IF(AL10="","",DemoCost+N(Deals!V10)*BuildCostPSF*(1+SoftCostPct)+P10*(DeedMonths+K10*EjectMonths+BuildMonths+SellMonths)+Q10+AL10*(BrokerPct+SellerRTT+SellClosingPct+ConcessionsPct))</f>
        <v/>
      </c>
      <c r="AN10" s="31" t="str">
        <f aca="false">IF(AL10="","",IF(N(Deals!S10)=0,MAX(0,(AL10-AM10-MAX(FlipTarget,DevMarginPct*AL10))/(1+BuyerPremium)),IF((AL10-AM10-MAX(FlipTarget,DevMarginPct*AL10))&gt;=(N(Deals!S10)+SheriffCostsFromBid)/(1-RTTPurchase)*(1+BuyerPremium),(AL10-AM10-MAX(FlipTarget,DevMarginPct*AL10))/(1+BuyerPremium),MAX(0,((AL10-AM10-MAX(FlipTarget,DevMarginPct*AL10))-N(Deals!S10)-SheriffCostsFromBid)/(BuyerPremium+RTTPurchase)))))</f>
        <v/>
      </c>
    </row>
    <row r="11" customFormat="false" ht="15" hidden="false" customHeight="true" outlineLevel="0" collapsed="false">
      <c r="A11" s="27" t="str">
        <f aca="false">IF(Deals!A11="","",Deals!A11)</f>
        <v/>
      </c>
      <c r="B11" s="1" t="str">
        <f aca="false">IF(A11="","",Deals!B11)</f>
        <v/>
      </c>
      <c r="C11" s="26" t="str">
        <f aca="false">IF(A11="","",IF(MAX(V11,AF11)&lt;=0,"Pass",IF(V11&gt;=AF11,"Flip","Value-add hold")))</f>
        <v/>
      </c>
      <c r="D11" s="28" t="str">
        <f aca="false">IF(A11="","",MAX(V11,AF11))</f>
        <v/>
      </c>
      <c r="E11" s="29" t="str">
        <f aca="false">IF(A11="","",IF(D11&lt;=0,"Pass",IF(N(Deals!D11)&lt;=1,"$1 = awaiting minimum bid; re-check the morning of Nov 3",IF(D11&lt;Deals!D11,"Max bid below opening bid: pass","Room of "&amp;TEXT(D11-Deals!D11,"$#,##0")&amp;" over opening bid"))))</f>
        <v/>
      </c>
      <c r="F11" s="28" t="str">
        <f aca="false">IF(A11="","",IF(C11="Flip",W11,IF(C11="Value-add hold",AG11,0)))</f>
        <v/>
      </c>
      <c r="G11" s="29" t="str">
        <f aca="false">IF(A11="","",IF(C11="Flip",TEXT(X11,"$#,##0")&amp;" profit, "&amp;TEXT(Y11,"0%")&amp;"/yr over "&amp;TEXT(M11,"0")&amp;" mo",IF(C11="Value-add hold",TEXT(AH11,"0.0%")&amp;" yield on cost; "&amp;IF(ISNUMBER(AJ11),TEXT(AJ11,"0.0%")&amp;" cash-on-cash after refi","all cash out at refi"),"")))</f>
        <v/>
      </c>
      <c r="H11" s="26" t="str">
        <f aca="false">IF(A11="","",IF(C11="Flip",IF(W11&lt;=FlipCeiling,"In $300k flip box","Over flip ceiling: needs to be exceptional"),IF(C11="Value-add hold","Value-add","")))</f>
        <v/>
      </c>
      <c r="I11" s="29" t="str">
        <f aca="false">IF(A11="","",TRIM(IF(AK11&gt;D11,"Wholesale assignment supports "&amp;TEXT(AK11,"$#,##0")&amp;". ","")&amp;IF(AND(ISNUMBER(AN11),N(AN11)&gt;D11),"Teardown/new units supports "&amp;TEXT(AN11,"$#,##0")&amp;".","")))</f>
        <v/>
      </c>
      <c r="J11" s="29" t="str">
        <f aca="false">IF(A11="","",TRIM(IF(Deals!F11="2nd","Plaintiff is 2nd: add senior mortgage to surviving liens. ",IF(Deals!F11&lt;&gt;"1st","Lien position unconfirmed. ",""))&amp;IF(N(Deals!M11)=0,"No ARV yet. ","")&amp;IF(N(Deals!G11)=0,"No building sf: rehab is allowance only. ","")&amp;IF(AND(N(Deals!S11)&gt;0,D11&gt;0,D11*(1-RTTPurchase)-SheriffCostsFromBid&lt;N(Deals!S11)),"City claims not fully paid at max bid; unpaid part is counted as cost. ","")&amp;IF(K11=1,"Occupancy assumed: +"&amp;TEXT(EjectMonths,"0")&amp;" mo and possession cost. ","")))</f>
        <v/>
      </c>
      <c r="K11" s="27" t="str">
        <f aca="false">IF(A11="","",IF(OR(Deals!Q11="Occupied",AND(Deals!Q11&lt;&gt;"Vacant",UnknownAsOccupied="Y")),1,0))</f>
        <v/>
      </c>
      <c r="L11" s="30" t="str">
        <f aca="false">IF(A11="","",IFERROR(INDEX(ScopeMonths,MATCH(Deals!O11,ScopeNames,0)),INDEX(ScopeMonths,3)))</f>
        <v/>
      </c>
      <c r="M11" s="30" t="str">
        <f aca="false">IF(A11="","",DeedMonths+K11*EjectMonths+L11+SellMonths)</f>
        <v/>
      </c>
      <c r="N11" s="30" t="str">
        <f aca="false">IF(A11="","",DeedMonths+K11*EjectMonths+L11+LeaseUpMonths)</f>
        <v/>
      </c>
      <c r="O11" s="31" t="str">
        <f aca="false">IF(A11="","",N(Deals!G11)*IFERROR(INDEX(ScopePSF,MATCH(Deals!O11,ScopeNames,0)),INDEX(ScopePSF,3))*(1+Contingency)+BlindAllowance+N(Deals!P11))</f>
        <v/>
      </c>
      <c r="P11" s="31" t="str">
        <f aca="false">IF(A11="","",IF(N(Deals!K11)&gt;0,Deals!K11,N(Deals!M11))*TaxRate/12+VacantInsMo+SecuringMo+UtilitiesMo+N(Deals!T11))</f>
        <v/>
      </c>
      <c r="Q11" s="31" t="str">
        <f aca="false">IF(A11="","",SheriffFees+PurchaseTitle+CompelDeedLegal+K11*PossessionCost+N(Deals!R11)+N(Deals!T11)*HOAArrearsMonths)</f>
        <v/>
      </c>
      <c r="R11" s="31" t="str">
        <f aca="false">IF(A11="","",N(Deals!M11)*(BrokerPct+SellerRTT+SellClosingPct+ConcessionsPct))</f>
        <v/>
      </c>
      <c r="S11" s="31" t="str">
        <f aca="false">IF(A11="","",Q11+O11+P11*M11)</f>
        <v/>
      </c>
      <c r="T11" s="31" t="str">
        <f aca="false">IF(A11="","",N(Deals!M11)-R11-S11)</f>
        <v/>
      </c>
      <c r="U11" s="31" t="str">
        <f aca="false">IF(A11="","",MIN(T11-FlipTarget,(T11-FlipMinAnnROI*M11/12*S11)/(1+FlipMinAnnROI*M11/12)))</f>
        <v/>
      </c>
      <c r="V11" s="31" t="str">
        <f aca="false">IF(A11="","",IF(N(Deals!S11)=0,MAX(0,(U11)/(1+BuyerPremium)),IF((U11)&gt;=(N(Deals!S11)+SheriffCostsFromBid)/(1-RTTPurchase)*(1+BuyerPremium),(U11)/(1+BuyerPremium),MAX(0,((U11)-N(Deals!S11)-SheriffCostsFromBid)/(BuyerPremium+RTTPurchase)))))</f>
        <v/>
      </c>
      <c r="W11" s="31" t="str">
        <f aca="false">IF(A11="","",((V11)*(1+BuyerPremium)+IF(N(Deals!S11)=0,0,MIN(N(Deals!S11),MAX(0,N(Deals!S11)+SheriffCostsFromBid-(V11)*(1-RTTPurchase)))))+S11)</f>
        <v/>
      </c>
      <c r="X11" s="31" t="str">
        <f aca="false">IF(A11="","",T11-((V11)*(1+BuyerPremium)+IF(N(Deals!S11)=0,0,MIN(N(Deals!S11),MAX(0,N(Deals!S11)+SheriffCostsFromBid-(V11)*(1-RTTPurchase))))))</f>
        <v/>
      </c>
      <c r="Y11" s="32" t="str">
        <f aca="false">IF(A11="","",IFERROR(X11/W11/(M11/12),0))</f>
        <v/>
      </c>
      <c r="Z11" s="31" t="str">
        <f aca="false">IF(A11="","",N(Deals!N11)*12*(1-Vacancy)*(1-MgmtPct-MaintPct-CapexPct)-N(Deals!M11)*TaxRate-MAX(1,N(Deals!J11))*(InsPerUnit+WaterPerUnit)-N(Deals!T11)*12)</f>
        <v/>
      </c>
      <c r="AA11" s="31" t="str">
        <f aca="false">IF(A11="","",Q11+O11+P11*N11)</f>
        <v/>
      </c>
      <c r="AB11" s="31" t="str">
        <f aca="false">IF(A11="","",MAX(0,MIN(RefiLTV*N(Deals!M11),Z11/(RefiDSCR*12*PMT(RefiRate/12,RefiTerm*12,-1)))))</f>
        <v/>
      </c>
      <c r="AC11" s="31" t="str">
        <f aca="false">IF(A11="","",Z11-AB11*12*PMT(RefiRate/12,RefiTerm*12,-1))</f>
        <v/>
      </c>
      <c r="AD11" s="31" t="str">
        <f aca="false">IF(A11="","",IF(N(Deals!S11)=0,MAX(0,(Z11/HoldTarget-AA11)/(1+BuyerPremium)),IF((Z11/HoldTarget-AA11)&gt;=(N(Deals!S11)+SheriffCostsFromBid)/(1-RTTPurchase)*(1+BuyerPremium),(Z11/HoldTarget-AA11)/(1+BuyerPremium),MAX(0,((Z11/HoldTarget-AA11)-N(Deals!S11)-SheriffCostsFromBid)/(BuyerPremium+RTTPurchase)))))</f>
        <v/>
      </c>
      <c r="AE11" s="31" t="str">
        <f aca="false">IF(A11="","",IF(AC11&lt;=0,0,IF(N(Deals!S11)=0,MAX(0,(AC11/HoldTarget+AB11*(1-RefiCostPct)-AA11)/(1+BuyerPremium)),IF((AC11/HoldTarget+AB11*(1-RefiCostPct)-AA11)&gt;=(N(Deals!S11)+SheriffCostsFromBid)/(1-RTTPurchase)*(1+BuyerPremium),(AC11/HoldTarget+AB11*(1-RefiCostPct)-AA11)/(1+BuyerPremium),MAX(0,((AC11/HoldTarget+AB11*(1-RefiCostPct)-AA11)-N(Deals!S11)-SheriffCostsFromBid)/(BuyerPremium+RTTPurchase))))))</f>
        <v/>
      </c>
      <c r="AF11" s="31" t="str">
        <f aca="false">IF(A11="","",IF(HoldMeasure="Cash-on-cash",AE11,AD11))</f>
        <v/>
      </c>
      <c r="AG11" s="31" t="str">
        <f aca="false">IF(A11="","",((AF11)*(1+BuyerPremium)+IF(N(Deals!S11)=0,0,MIN(N(Deals!S11),MAX(0,N(Deals!S11)+SheriffCostsFromBid-(AF11)*(1-RTTPurchase)))))+AA11)</f>
        <v/>
      </c>
      <c r="AH11" s="32" t="str">
        <f aca="false">IF(A11="","",IFERROR(Z11/AG11,0))</f>
        <v/>
      </c>
      <c r="AI11" s="31" t="str">
        <f aca="false">IF(A11="","",AG11-AB11*(1-RefiCostPct))</f>
        <v/>
      </c>
      <c r="AJ11" s="32" t="str">
        <f aca="false">IF(A11="","",IF(AI11&lt;=0,"All cash out",AC11/AI11))</f>
        <v/>
      </c>
      <c r="AK11" s="31" t="str">
        <f aca="false">IF(A11="","",IF(N(Deals!S11)=0,MAX(0,(T11-BuyerMarginPct*N(Deals!M11)-WholesaleMinFee)/(1+BuyerPremium)),IF((T11-BuyerMarginPct*N(Deals!M11)-WholesaleMinFee)&gt;=(N(Deals!S11)+SheriffCostsFromBid)/(1-RTTPurchase)*(1+BuyerPremium),(T11-BuyerMarginPct*N(Deals!M11)-WholesaleMinFee)/(1+BuyerPremium),MAX(0,((T11-BuyerMarginPct*N(Deals!M11)-WholesaleMinFee)-N(Deals!S11)-SheriffCostsFromBid)/(BuyerPremium+RTTPurchase)))))</f>
        <v/>
      </c>
      <c r="AL11" s="31" t="str">
        <f aca="false">IF(OR(A11="",N(Deals!U11)=0),"",Deals!U11*N(Deals!W11))</f>
        <v/>
      </c>
      <c r="AM11" s="31" t="str">
        <f aca="false">IF(AL11="","",DemoCost+N(Deals!V11)*BuildCostPSF*(1+SoftCostPct)+P11*(DeedMonths+K11*EjectMonths+BuildMonths+SellMonths)+Q11+AL11*(BrokerPct+SellerRTT+SellClosingPct+ConcessionsPct))</f>
        <v/>
      </c>
      <c r="AN11" s="31" t="str">
        <f aca="false">IF(AL11="","",IF(N(Deals!S11)=0,MAX(0,(AL11-AM11-MAX(FlipTarget,DevMarginPct*AL11))/(1+BuyerPremium)),IF((AL11-AM11-MAX(FlipTarget,DevMarginPct*AL11))&gt;=(N(Deals!S11)+SheriffCostsFromBid)/(1-RTTPurchase)*(1+BuyerPremium),(AL11-AM11-MAX(FlipTarget,DevMarginPct*AL11))/(1+BuyerPremium),MAX(0,((AL11-AM11-MAX(FlipTarget,DevMarginPct*AL11))-N(Deals!S11)-SheriffCostsFromBid)/(BuyerPremium+RTTPurchase)))))</f>
        <v/>
      </c>
    </row>
    <row r="12" customFormat="false" ht="15" hidden="false" customHeight="true" outlineLevel="0" collapsed="false">
      <c r="A12" s="27" t="str">
        <f aca="false">IF(Deals!A12="","",Deals!A12)</f>
        <v/>
      </c>
      <c r="B12" s="1" t="str">
        <f aca="false">IF(A12="","",Deals!B12)</f>
        <v/>
      </c>
      <c r="C12" s="26" t="str">
        <f aca="false">IF(A12="","",IF(MAX(V12,AF12)&lt;=0,"Pass",IF(V12&gt;=AF12,"Flip","Value-add hold")))</f>
        <v/>
      </c>
      <c r="D12" s="28" t="str">
        <f aca="false">IF(A12="","",MAX(V12,AF12))</f>
        <v/>
      </c>
      <c r="E12" s="29" t="str">
        <f aca="false">IF(A12="","",IF(D12&lt;=0,"Pass",IF(N(Deals!D12)&lt;=1,"$1 = awaiting minimum bid; re-check the morning of Nov 3",IF(D12&lt;Deals!D12,"Max bid below opening bid: pass","Room of "&amp;TEXT(D12-Deals!D12,"$#,##0")&amp;" over opening bid"))))</f>
        <v/>
      </c>
      <c r="F12" s="28" t="str">
        <f aca="false">IF(A12="","",IF(C12="Flip",W12,IF(C12="Value-add hold",AG12,0)))</f>
        <v/>
      </c>
      <c r="G12" s="29" t="str">
        <f aca="false">IF(A12="","",IF(C12="Flip",TEXT(X12,"$#,##0")&amp;" profit, "&amp;TEXT(Y12,"0%")&amp;"/yr over "&amp;TEXT(M12,"0")&amp;" mo",IF(C12="Value-add hold",TEXT(AH12,"0.0%")&amp;" yield on cost; "&amp;IF(ISNUMBER(AJ12),TEXT(AJ12,"0.0%")&amp;" cash-on-cash after refi","all cash out at refi"),"")))</f>
        <v/>
      </c>
      <c r="H12" s="26" t="str">
        <f aca="false">IF(A12="","",IF(C12="Flip",IF(W12&lt;=FlipCeiling,"In $300k flip box","Over flip ceiling: needs to be exceptional"),IF(C12="Value-add hold","Value-add","")))</f>
        <v/>
      </c>
      <c r="I12" s="29" t="str">
        <f aca="false">IF(A12="","",TRIM(IF(AK12&gt;D12,"Wholesale assignment supports "&amp;TEXT(AK12,"$#,##0")&amp;". ","")&amp;IF(AND(ISNUMBER(AN12),N(AN12)&gt;D12),"Teardown/new units supports "&amp;TEXT(AN12,"$#,##0")&amp;".","")))</f>
        <v/>
      </c>
      <c r="J12" s="29" t="str">
        <f aca="false">IF(A12="","",TRIM(IF(Deals!F12="2nd","Plaintiff is 2nd: add senior mortgage to surviving liens. ",IF(Deals!F12&lt;&gt;"1st","Lien position unconfirmed. ",""))&amp;IF(N(Deals!M12)=0,"No ARV yet. ","")&amp;IF(N(Deals!G12)=0,"No building sf: rehab is allowance only. ","")&amp;IF(AND(N(Deals!S12)&gt;0,D12&gt;0,D12*(1-RTTPurchase)-SheriffCostsFromBid&lt;N(Deals!S12)),"City claims not fully paid at max bid; unpaid part is counted as cost. ","")&amp;IF(K12=1,"Occupancy assumed: +"&amp;TEXT(EjectMonths,"0")&amp;" mo and possession cost. ","")))</f>
        <v/>
      </c>
      <c r="K12" s="27" t="str">
        <f aca="false">IF(A12="","",IF(OR(Deals!Q12="Occupied",AND(Deals!Q12&lt;&gt;"Vacant",UnknownAsOccupied="Y")),1,0))</f>
        <v/>
      </c>
      <c r="L12" s="30" t="str">
        <f aca="false">IF(A12="","",IFERROR(INDEX(ScopeMonths,MATCH(Deals!O12,ScopeNames,0)),INDEX(ScopeMonths,3)))</f>
        <v/>
      </c>
      <c r="M12" s="30" t="str">
        <f aca="false">IF(A12="","",DeedMonths+K12*EjectMonths+L12+SellMonths)</f>
        <v/>
      </c>
      <c r="N12" s="30" t="str">
        <f aca="false">IF(A12="","",DeedMonths+K12*EjectMonths+L12+LeaseUpMonths)</f>
        <v/>
      </c>
      <c r="O12" s="31" t="str">
        <f aca="false">IF(A12="","",N(Deals!G12)*IFERROR(INDEX(ScopePSF,MATCH(Deals!O12,ScopeNames,0)),INDEX(ScopePSF,3))*(1+Contingency)+BlindAllowance+N(Deals!P12))</f>
        <v/>
      </c>
      <c r="P12" s="31" t="str">
        <f aca="false">IF(A12="","",IF(N(Deals!K12)&gt;0,Deals!K12,N(Deals!M12))*TaxRate/12+VacantInsMo+SecuringMo+UtilitiesMo+N(Deals!T12))</f>
        <v/>
      </c>
      <c r="Q12" s="31" t="str">
        <f aca="false">IF(A12="","",SheriffFees+PurchaseTitle+CompelDeedLegal+K12*PossessionCost+N(Deals!R12)+N(Deals!T12)*HOAArrearsMonths)</f>
        <v/>
      </c>
      <c r="R12" s="31" t="str">
        <f aca="false">IF(A12="","",N(Deals!M12)*(BrokerPct+SellerRTT+SellClosingPct+ConcessionsPct))</f>
        <v/>
      </c>
      <c r="S12" s="31" t="str">
        <f aca="false">IF(A12="","",Q12+O12+P12*M12)</f>
        <v/>
      </c>
      <c r="T12" s="31" t="str">
        <f aca="false">IF(A12="","",N(Deals!M12)-R12-S12)</f>
        <v/>
      </c>
      <c r="U12" s="31" t="str">
        <f aca="false">IF(A12="","",MIN(T12-FlipTarget,(T12-FlipMinAnnROI*M12/12*S12)/(1+FlipMinAnnROI*M12/12)))</f>
        <v/>
      </c>
      <c r="V12" s="31" t="str">
        <f aca="false">IF(A12="","",IF(N(Deals!S12)=0,MAX(0,(U12)/(1+BuyerPremium)),IF((U12)&gt;=(N(Deals!S12)+SheriffCostsFromBid)/(1-RTTPurchase)*(1+BuyerPremium),(U12)/(1+BuyerPremium),MAX(0,((U12)-N(Deals!S12)-SheriffCostsFromBid)/(BuyerPremium+RTTPurchase)))))</f>
        <v/>
      </c>
      <c r="W12" s="31" t="str">
        <f aca="false">IF(A12="","",((V12)*(1+BuyerPremium)+IF(N(Deals!S12)=0,0,MIN(N(Deals!S12),MAX(0,N(Deals!S12)+SheriffCostsFromBid-(V12)*(1-RTTPurchase)))))+S12)</f>
        <v/>
      </c>
      <c r="X12" s="31" t="str">
        <f aca="false">IF(A12="","",T12-((V12)*(1+BuyerPremium)+IF(N(Deals!S12)=0,0,MIN(N(Deals!S12),MAX(0,N(Deals!S12)+SheriffCostsFromBid-(V12)*(1-RTTPurchase))))))</f>
        <v/>
      </c>
      <c r="Y12" s="32" t="str">
        <f aca="false">IF(A12="","",IFERROR(X12/W12/(M12/12),0))</f>
        <v/>
      </c>
      <c r="Z12" s="31" t="str">
        <f aca="false">IF(A12="","",N(Deals!N12)*12*(1-Vacancy)*(1-MgmtPct-MaintPct-CapexPct)-N(Deals!M12)*TaxRate-MAX(1,N(Deals!J12))*(InsPerUnit+WaterPerUnit)-N(Deals!T12)*12)</f>
        <v/>
      </c>
      <c r="AA12" s="31" t="str">
        <f aca="false">IF(A12="","",Q12+O12+P12*N12)</f>
        <v/>
      </c>
      <c r="AB12" s="31" t="str">
        <f aca="false">IF(A12="","",MAX(0,MIN(RefiLTV*N(Deals!M12),Z12/(RefiDSCR*12*PMT(RefiRate/12,RefiTerm*12,-1)))))</f>
        <v/>
      </c>
      <c r="AC12" s="31" t="str">
        <f aca="false">IF(A12="","",Z12-AB12*12*PMT(RefiRate/12,RefiTerm*12,-1))</f>
        <v/>
      </c>
      <c r="AD12" s="31" t="str">
        <f aca="false">IF(A12="","",IF(N(Deals!S12)=0,MAX(0,(Z12/HoldTarget-AA12)/(1+BuyerPremium)),IF((Z12/HoldTarget-AA12)&gt;=(N(Deals!S12)+SheriffCostsFromBid)/(1-RTTPurchase)*(1+BuyerPremium),(Z12/HoldTarget-AA12)/(1+BuyerPremium),MAX(0,((Z12/HoldTarget-AA12)-N(Deals!S12)-SheriffCostsFromBid)/(BuyerPremium+RTTPurchase)))))</f>
        <v/>
      </c>
      <c r="AE12" s="31" t="str">
        <f aca="false">IF(A12="","",IF(AC12&lt;=0,0,IF(N(Deals!S12)=0,MAX(0,(AC12/HoldTarget+AB12*(1-RefiCostPct)-AA12)/(1+BuyerPremium)),IF((AC12/HoldTarget+AB12*(1-RefiCostPct)-AA12)&gt;=(N(Deals!S12)+SheriffCostsFromBid)/(1-RTTPurchase)*(1+BuyerPremium),(AC12/HoldTarget+AB12*(1-RefiCostPct)-AA12)/(1+BuyerPremium),MAX(0,((AC12/HoldTarget+AB12*(1-RefiCostPct)-AA12)-N(Deals!S12)-SheriffCostsFromBid)/(BuyerPremium+RTTPurchase))))))</f>
        <v/>
      </c>
      <c r="AF12" s="31" t="str">
        <f aca="false">IF(A12="","",IF(HoldMeasure="Cash-on-cash",AE12,AD12))</f>
        <v/>
      </c>
      <c r="AG12" s="31" t="str">
        <f aca="false">IF(A12="","",((AF12)*(1+BuyerPremium)+IF(N(Deals!S12)=0,0,MIN(N(Deals!S12),MAX(0,N(Deals!S12)+SheriffCostsFromBid-(AF12)*(1-RTTPurchase)))))+AA12)</f>
        <v/>
      </c>
      <c r="AH12" s="32" t="str">
        <f aca="false">IF(A12="","",IFERROR(Z12/AG12,0))</f>
        <v/>
      </c>
      <c r="AI12" s="31" t="str">
        <f aca="false">IF(A12="","",AG12-AB12*(1-RefiCostPct))</f>
        <v/>
      </c>
      <c r="AJ12" s="32" t="str">
        <f aca="false">IF(A12="","",IF(AI12&lt;=0,"All cash out",AC12/AI12))</f>
        <v/>
      </c>
      <c r="AK12" s="31" t="str">
        <f aca="false">IF(A12="","",IF(N(Deals!S12)=0,MAX(0,(T12-BuyerMarginPct*N(Deals!M12)-WholesaleMinFee)/(1+BuyerPremium)),IF((T12-BuyerMarginPct*N(Deals!M12)-WholesaleMinFee)&gt;=(N(Deals!S12)+SheriffCostsFromBid)/(1-RTTPurchase)*(1+BuyerPremium),(T12-BuyerMarginPct*N(Deals!M12)-WholesaleMinFee)/(1+BuyerPremium),MAX(0,((T12-BuyerMarginPct*N(Deals!M12)-WholesaleMinFee)-N(Deals!S12)-SheriffCostsFromBid)/(BuyerPremium+RTTPurchase)))))</f>
        <v/>
      </c>
      <c r="AL12" s="31" t="str">
        <f aca="false">IF(OR(A12="",N(Deals!U12)=0),"",Deals!U12*N(Deals!W12))</f>
        <v/>
      </c>
      <c r="AM12" s="31" t="str">
        <f aca="false">IF(AL12="","",DemoCost+N(Deals!V12)*BuildCostPSF*(1+SoftCostPct)+P12*(DeedMonths+K12*EjectMonths+BuildMonths+SellMonths)+Q12+AL12*(BrokerPct+SellerRTT+SellClosingPct+ConcessionsPct))</f>
        <v/>
      </c>
      <c r="AN12" s="31" t="str">
        <f aca="false">IF(AL12="","",IF(N(Deals!S12)=0,MAX(0,(AL12-AM12-MAX(FlipTarget,DevMarginPct*AL12))/(1+BuyerPremium)),IF((AL12-AM12-MAX(FlipTarget,DevMarginPct*AL12))&gt;=(N(Deals!S12)+SheriffCostsFromBid)/(1-RTTPurchase)*(1+BuyerPremium),(AL12-AM12-MAX(FlipTarget,DevMarginPct*AL12))/(1+BuyerPremium),MAX(0,((AL12-AM12-MAX(FlipTarget,DevMarginPct*AL12))-N(Deals!S12)-SheriffCostsFromBid)/(BuyerPremium+RTTPurchase)))))</f>
        <v/>
      </c>
    </row>
    <row r="13" customFormat="false" ht="15" hidden="false" customHeight="true" outlineLevel="0" collapsed="false">
      <c r="A13" s="27" t="str">
        <f aca="false">IF(Deals!A13="","",Deals!A13)</f>
        <v/>
      </c>
      <c r="B13" s="1" t="str">
        <f aca="false">IF(A13="","",Deals!B13)</f>
        <v/>
      </c>
      <c r="C13" s="26" t="str">
        <f aca="false">IF(A13="","",IF(MAX(V13,AF13)&lt;=0,"Pass",IF(V13&gt;=AF13,"Flip","Value-add hold")))</f>
        <v/>
      </c>
      <c r="D13" s="28" t="str">
        <f aca="false">IF(A13="","",MAX(V13,AF13))</f>
        <v/>
      </c>
      <c r="E13" s="29" t="str">
        <f aca="false">IF(A13="","",IF(D13&lt;=0,"Pass",IF(N(Deals!D13)&lt;=1,"$1 = awaiting minimum bid; re-check the morning of Nov 3",IF(D13&lt;Deals!D13,"Max bid below opening bid: pass","Room of "&amp;TEXT(D13-Deals!D13,"$#,##0")&amp;" over opening bid"))))</f>
        <v/>
      </c>
      <c r="F13" s="28" t="str">
        <f aca="false">IF(A13="","",IF(C13="Flip",W13,IF(C13="Value-add hold",AG13,0)))</f>
        <v/>
      </c>
      <c r="G13" s="29" t="str">
        <f aca="false">IF(A13="","",IF(C13="Flip",TEXT(X13,"$#,##0")&amp;" profit, "&amp;TEXT(Y13,"0%")&amp;"/yr over "&amp;TEXT(M13,"0")&amp;" mo",IF(C13="Value-add hold",TEXT(AH13,"0.0%")&amp;" yield on cost; "&amp;IF(ISNUMBER(AJ13),TEXT(AJ13,"0.0%")&amp;" cash-on-cash after refi","all cash out at refi"),"")))</f>
        <v/>
      </c>
      <c r="H13" s="26" t="str">
        <f aca="false">IF(A13="","",IF(C13="Flip",IF(W13&lt;=FlipCeiling,"In $300k flip box","Over flip ceiling: needs to be exceptional"),IF(C13="Value-add hold","Value-add","")))</f>
        <v/>
      </c>
      <c r="I13" s="29" t="str">
        <f aca="false">IF(A13="","",TRIM(IF(AK13&gt;D13,"Wholesale assignment supports "&amp;TEXT(AK13,"$#,##0")&amp;". ","")&amp;IF(AND(ISNUMBER(AN13),N(AN13)&gt;D13),"Teardown/new units supports "&amp;TEXT(AN13,"$#,##0")&amp;".","")))</f>
        <v/>
      </c>
      <c r="J13" s="29" t="str">
        <f aca="false">IF(A13="","",TRIM(IF(Deals!F13="2nd","Plaintiff is 2nd: add senior mortgage to surviving liens. ",IF(Deals!F13&lt;&gt;"1st","Lien position unconfirmed. ",""))&amp;IF(N(Deals!M13)=0,"No ARV yet. ","")&amp;IF(N(Deals!G13)=0,"No building sf: rehab is allowance only. ","")&amp;IF(AND(N(Deals!S13)&gt;0,D13&gt;0,D13*(1-RTTPurchase)-SheriffCostsFromBid&lt;N(Deals!S13)),"City claims not fully paid at max bid; unpaid part is counted as cost. ","")&amp;IF(K13=1,"Occupancy assumed: +"&amp;TEXT(EjectMonths,"0")&amp;" mo and possession cost. ","")))</f>
        <v/>
      </c>
      <c r="K13" s="27" t="str">
        <f aca="false">IF(A13="","",IF(OR(Deals!Q13="Occupied",AND(Deals!Q13&lt;&gt;"Vacant",UnknownAsOccupied="Y")),1,0))</f>
        <v/>
      </c>
      <c r="L13" s="30" t="str">
        <f aca="false">IF(A13="","",IFERROR(INDEX(ScopeMonths,MATCH(Deals!O13,ScopeNames,0)),INDEX(ScopeMonths,3)))</f>
        <v/>
      </c>
      <c r="M13" s="30" t="str">
        <f aca="false">IF(A13="","",DeedMonths+K13*EjectMonths+L13+SellMonths)</f>
        <v/>
      </c>
      <c r="N13" s="30" t="str">
        <f aca="false">IF(A13="","",DeedMonths+K13*EjectMonths+L13+LeaseUpMonths)</f>
        <v/>
      </c>
      <c r="O13" s="31" t="str">
        <f aca="false">IF(A13="","",N(Deals!G13)*IFERROR(INDEX(ScopePSF,MATCH(Deals!O13,ScopeNames,0)),INDEX(ScopePSF,3))*(1+Contingency)+BlindAllowance+N(Deals!P13))</f>
        <v/>
      </c>
      <c r="P13" s="31" t="str">
        <f aca="false">IF(A13="","",IF(N(Deals!K13)&gt;0,Deals!K13,N(Deals!M13))*TaxRate/12+VacantInsMo+SecuringMo+UtilitiesMo+N(Deals!T13))</f>
        <v/>
      </c>
      <c r="Q13" s="31" t="str">
        <f aca="false">IF(A13="","",SheriffFees+PurchaseTitle+CompelDeedLegal+K13*PossessionCost+N(Deals!R13)+N(Deals!T13)*HOAArrearsMonths)</f>
        <v/>
      </c>
      <c r="R13" s="31" t="str">
        <f aca="false">IF(A13="","",N(Deals!M13)*(BrokerPct+SellerRTT+SellClosingPct+ConcessionsPct))</f>
        <v/>
      </c>
      <c r="S13" s="31" t="str">
        <f aca="false">IF(A13="","",Q13+O13+P13*M13)</f>
        <v/>
      </c>
      <c r="T13" s="31" t="str">
        <f aca="false">IF(A13="","",N(Deals!M13)-R13-S13)</f>
        <v/>
      </c>
      <c r="U13" s="31" t="str">
        <f aca="false">IF(A13="","",MIN(T13-FlipTarget,(T13-FlipMinAnnROI*M13/12*S13)/(1+FlipMinAnnROI*M13/12)))</f>
        <v/>
      </c>
      <c r="V13" s="31" t="str">
        <f aca="false">IF(A13="","",IF(N(Deals!S13)=0,MAX(0,(U13)/(1+BuyerPremium)),IF((U13)&gt;=(N(Deals!S13)+SheriffCostsFromBid)/(1-RTTPurchase)*(1+BuyerPremium),(U13)/(1+BuyerPremium),MAX(0,((U13)-N(Deals!S13)-SheriffCostsFromBid)/(BuyerPremium+RTTPurchase)))))</f>
        <v/>
      </c>
      <c r="W13" s="31" t="str">
        <f aca="false">IF(A13="","",((V13)*(1+BuyerPremium)+IF(N(Deals!S13)=0,0,MIN(N(Deals!S13),MAX(0,N(Deals!S13)+SheriffCostsFromBid-(V13)*(1-RTTPurchase)))))+S13)</f>
        <v/>
      </c>
      <c r="X13" s="31" t="str">
        <f aca="false">IF(A13="","",T13-((V13)*(1+BuyerPremium)+IF(N(Deals!S13)=0,0,MIN(N(Deals!S13),MAX(0,N(Deals!S13)+SheriffCostsFromBid-(V13)*(1-RTTPurchase))))))</f>
        <v/>
      </c>
      <c r="Y13" s="32" t="str">
        <f aca="false">IF(A13="","",IFERROR(X13/W13/(M13/12),0))</f>
        <v/>
      </c>
      <c r="Z13" s="31" t="str">
        <f aca="false">IF(A13="","",N(Deals!N13)*12*(1-Vacancy)*(1-MgmtPct-MaintPct-CapexPct)-N(Deals!M13)*TaxRate-MAX(1,N(Deals!J13))*(InsPerUnit+WaterPerUnit)-N(Deals!T13)*12)</f>
        <v/>
      </c>
      <c r="AA13" s="31" t="str">
        <f aca="false">IF(A13="","",Q13+O13+P13*N13)</f>
        <v/>
      </c>
      <c r="AB13" s="31" t="str">
        <f aca="false">IF(A13="","",MAX(0,MIN(RefiLTV*N(Deals!M13),Z13/(RefiDSCR*12*PMT(RefiRate/12,RefiTerm*12,-1)))))</f>
        <v/>
      </c>
      <c r="AC13" s="31" t="str">
        <f aca="false">IF(A13="","",Z13-AB13*12*PMT(RefiRate/12,RefiTerm*12,-1))</f>
        <v/>
      </c>
      <c r="AD13" s="31" t="str">
        <f aca="false">IF(A13="","",IF(N(Deals!S13)=0,MAX(0,(Z13/HoldTarget-AA13)/(1+BuyerPremium)),IF((Z13/HoldTarget-AA13)&gt;=(N(Deals!S13)+SheriffCostsFromBid)/(1-RTTPurchase)*(1+BuyerPremium),(Z13/HoldTarget-AA13)/(1+BuyerPremium),MAX(0,((Z13/HoldTarget-AA13)-N(Deals!S13)-SheriffCostsFromBid)/(BuyerPremium+RTTPurchase)))))</f>
        <v/>
      </c>
      <c r="AE13" s="31" t="str">
        <f aca="false">IF(A13="","",IF(AC13&lt;=0,0,IF(N(Deals!S13)=0,MAX(0,(AC13/HoldTarget+AB13*(1-RefiCostPct)-AA13)/(1+BuyerPremium)),IF((AC13/HoldTarget+AB13*(1-RefiCostPct)-AA13)&gt;=(N(Deals!S13)+SheriffCostsFromBid)/(1-RTTPurchase)*(1+BuyerPremium),(AC13/HoldTarget+AB13*(1-RefiCostPct)-AA13)/(1+BuyerPremium),MAX(0,((AC13/HoldTarget+AB13*(1-RefiCostPct)-AA13)-N(Deals!S13)-SheriffCostsFromBid)/(BuyerPremium+RTTPurchase))))))</f>
        <v/>
      </c>
      <c r="AF13" s="31" t="str">
        <f aca="false">IF(A13="","",IF(HoldMeasure="Cash-on-cash",AE13,AD13))</f>
        <v/>
      </c>
      <c r="AG13" s="31" t="str">
        <f aca="false">IF(A13="","",((AF13)*(1+BuyerPremium)+IF(N(Deals!S13)=0,0,MIN(N(Deals!S13),MAX(0,N(Deals!S13)+SheriffCostsFromBid-(AF13)*(1-RTTPurchase)))))+AA13)</f>
        <v/>
      </c>
      <c r="AH13" s="32" t="str">
        <f aca="false">IF(A13="","",IFERROR(Z13/AG13,0))</f>
        <v/>
      </c>
      <c r="AI13" s="31" t="str">
        <f aca="false">IF(A13="","",AG13-AB13*(1-RefiCostPct))</f>
        <v/>
      </c>
      <c r="AJ13" s="32" t="str">
        <f aca="false">IF(A13="","",IF(AI13&lt;=0,"All cash out",AC13/AI13))</f>
        <v/>
      </c>
      <c r="AK13" s="31" t="str">
        <f aca="false">IF(A13="","",IF(N(Deals!S13)=0,MAX(0,(T13-BuyerMarginPct*N(Deals!M13)-WholesaleMinFee)/(1+BuyerPremium)),IF((T13-BuyerMarginPct*N(Deals!M13)-WholesaleMinFee)&gt;=(N(Deals!S13)+SheriffCostsFromBid)/(1-RTTPurchase)*(1+BuyerPremium),(T13-BuyerMarginPct*N(Deals!M13)-WholesaleMinFee)/(1+BuyerPremium),MAX(0,((T13-BuyerMarginPct*N(Deals!M13)-WholesaleMinFee)-N(Deals!S13)-SheriffCostsFromBid)/(BuyerPremium+RTTPurchase)))))</f>
        <v/>
      </c>
      <c r="AL13" s="31" t="str">
        <f aca="false">IF(OR(A13="",N(Deals!U13)=0),"",Deals!U13*N(Deals!W13))</f>
        <v/>
      </c>
      <c r="AM13" s="31" t="str">
        <f aca="false">IF(AL13="","",DemoCost+N(Deals!V13)*BuildCostPSF*(1+SoftCostPct)+P13*(DeedMonths+K13*EjectMonths+BuildMonths+SellMonths)+Q13+AL13*(BrokerPct+SellerRTT+SellClosingPct+ConcessionsPct))</f>
        <v/>
      </c>
      <c r="AN13" s="31" t="str">
        <f aca="false">IF(AL13="","",IF(N(Deals!S13)=0,MAX(0,(AL13-AM13-MAX(FlipTarget,DevMarginPct*AL13))/(1+BuyerPremium)),IF((AL13-AM13-MAX(FlipTarget,DevMarginPct*AL13))&gt;=(N(Deals!S13)+SheriffCostsFromBid)/(1-RTTPurchase)*(1+BuyerPremium),(AL13-AM13-MAX(FlipTarget,DevMarginPct*AL13))/(1+BuyerPremium),MAX(0,((AL13-AM13-MAX(FlipTarget,DevMarginPct*AL13))-N(Deals!S13)-SheriffCostsFromBid)/(BuyerPremium+RTTPurchase)))))</f>
        <v/>
      </c>
    </row>
    <row r="14" customFormat="false" ht="15" hidden="false" customHeight="true" outlineLevel="0" collapsed="false">
      <c r="A14" s="27" t="str">
        <f aca="false">IF(Deals!A14="","",Deals!A14)</f>
        <v/>
      </c>
      <c r="B14" s="1" t="str">
        <f aca="false">IF(A14="","",Deals!B14)</f>
        <v/>
      </c>
      <c r="C14" s="26" t="str">
        <f aca="false">IF(A14="","",IF(MAX(V14,AF14)&lt;=0,"Pass",IF(V14&gt;=AF14,"Flip","Value-add hold")))</f>
        <v/>
      </c>
      <c r="D14" s="28" t="str">
        <f aca="false">IF(A14="","",MAX(V14,AF14))</f>
        <v/>
      </c>
      <c r="E14" s="29" t="str">
        <f aca="false">IF(A14="","",IF(D14&lt;=0,"Pass",IF(N(Deals!D14)&lt;=1,"$1 = awaiting minimum bid; re-check the morning of Nov 3",IF(D14&lt;Deals!D14,"Max bid below opening bid: pass","Room of "&amp;TEXT(D14-Deals!D14,"$#,##0")&amp;" over opening bid"))))</f>
        <v/>
      </c>
      <c r="F14" s="28" t="str">
        <f aca="false">IF(A14="","",IF(C14="Flip",W14,IF(C14="Value-add hold",AG14,0)))</f>
        <v/>
      </c>
      <c r="G14" s="29" t="str">
        <f aca="false">IF(A14="","",IF(C14="Flip",TEXT(X14,"$#,##0")&amp;" profit, "&amp;TEXT(Y14,"0%")&amp;"/yr over "&amp;TEXT(M14,"0")&amp;" mo",IF(C14="Value-add hold",TEXT(AH14,"0.0%")&amp;" yield on cost; "&amp;IF(ISNUMBER(AJ14),TEXT(AJ14,"0.0%")&amp;" cash-on-cash after refi","all cash out at refi"),"")))</f>
        <v/>
      </c>
      <c r="H14" s="26" t="str">
        <f aca="false">IF(A14="","",IF(C14="Flip",IF(W14&lt;=FlipCeiling,"In $300k flip box","Over flip ceiling: needs to be exceptional"),IF(C14="Value-add hold","Value-add","")))</f>
        <v/>
      </c>
      <c r="I14" s="29" t="str">
        <f aca="false">IF(A14="","",TRIM(IF(AK14&gt;D14,"Wholesale assignment supports "&amp;TEXT(AK14,"$#,##0")&amp;". ","")&amp;IF(AND(ISNUMBER(AN14),N(AN14)&gt;D14),"Teardown/new units supports "&amp;TEXT(AN14,"$#,##0")&amp;".","")))</f>
        <v/>
      </c>
      <c r="J14" s="29" t="str">
        <f aca="false">IF(A14="","",TRIM(IF(Deals!F14="2nd","Plaintiff is 2nd: add senior mortgage to surviving liens. ",IF(Deals!F14&lt;&gt;"1st","Lien position unconfirmed. ",""))&amp;IF(N(Deals!M14)=0,"No ARV yet. ","")&amp;IF(N(Deals!G14)=0,"No building sf: rehab is allowance only. ","")&amp;IF(AND(N(Deals!S14)&gt;0,D14&gt;0,D14*(1-RTTPurchase)-SheriffCostsFromBid&lt;N(Deals!S14)),"City claims not fully paid at max bid; unpaid part is counted as cost. ","")&amp;IF(K14=1,"Occupancy assumed: +"&amp;TEXT(EjectMonths,"0")&amp;" mo and possession cost. ","")))</f>
        <v/>
      </c>
      <c r="K14" s="27" t="str">
        <f aca="false">IF(A14="","",IF(OR(Deals!Q14="Occupied",AND(Deals!Q14&lt;&gt;"Vacant",UnknownAsOccupied="Y")),1,0))</f>
        <v/>
      </c>
      <c r="L14" s="30" t="str">
        <f aca="false">IF(A14="","",IFERROR(INDEX(ScopeMonths,MATCH(Deals!O14,ScopeNames,0)),INDEX(ScopeMonths,3)))</f>
        <v/>
      </c>
      <c r="M14" s="30" t="str">
        <f aca="false">IF(A14="","",DeedMonths+K14*EjectMonths+L14+SellMonths)</f>
        <v/>
      </c>
      <c r="N14" s="30" t="str">
        <f aca="false">IF(A14="","",DeedMonths+K14*EjectMonths+L14+LeaseUpMonths)</f>
        <v/>
      </c>
      <c r="O14" s="31" t="str">
        <f aca="false">IF(A14="","",N(Deals!G14)*IFERROR(INDEX(ScopePSF,MATCH(Deals!O14,ScopeNames,0)),INDEX(ScopePSF,3))*(1+Contingency)+BlindAllowance+N(Deals!P14))</f>
        <v/>
      </c>
      <c r="P14" s="31" t="str">
        <f aca="false">IF(A14="","",IF(N(Deals!K14)&gt;0,Deals!K14,N(Deals!M14))*TaxRate/12+VacantInsMo+SecuringMo+UtilitiesMo+N(Deals!T14))</f>
        <v/>
      </c>
      <c r="Q14" s="31" t="str">
        <f aca="false">IF(A14="","",SheriffFees+PurchaseTitle+CompelDeedLegal+K14*PossessionCost+N(Deals!R14)+N(Deals!T14)*HOAArrearsMonths)</f>
        <v/>
      </c>
      <c r="R14" s="31" t="str">
        <f aca="false">IF(A14="","",N(Deals!M14)*(BrokerPct+SellerRTT+SellClosingPct+ConcessionsPct))</f>
        <v/>
      </c>
      <c r="S14" s="31" t="str">
        <f aca="false">IF(A14="","",Q14+O14+P14*M14)</f>
        <v/>
      </c>
      <c r="T14" s="31" t="str">
        <f aca="false">IF(A14="","",N(Deals!M14)-R14-S14)</f>
        <v/>
      </c>
      <c r="U14" s="31" t="str">
        <f aca="false">IF(A14="","",MIN(T14-FlipTarget,(T14-FlipMinAnnROI*M14/12*S14)/(1+FlipMinAnnROI*M14/12)))</f>
        <v/>
      </c>
      <c r="V14" s="31" t="str">
        <f aca="false">IF(A14="","",IF(N(Deals!S14)=0,MAX(0,(U14)/(1+BuyerPremium)),IF((U14)&gt;=(N(Deals!S14)+SheriffCostsFromBid)/(1-RTTPurchase)*(1+BuyerPremium),(U14)/(1+BuyerPremium),MAX(0,((U14)-N(Deals!S14)-SheriffCostsFromBid)/(BuyerPremium+RTTPurchase)))))</f>
        <v/>
      </c>
      <c r="W14" s="31" t="str">
        <f aca="false">IF(A14="","",((V14)*(1+BuyerPremium)+IF(N(Deals!S14)=0,0,MIN(N(Deals!S14),MAX(0,N(Deals!S14)+SheriffCostsFromBid-(V14)*(1-RTTPurchase)))))+S14)</f>
        <v/>
      </c>
      <c r="X14" s="31" t="str">
        <f aca="false">IF(A14="","",T14-((V14)*(1+BuyerPremium)+IF(N(Deals!S14)=0,0,MIN(N(Deals!S14),MAX(0,N(Deals!S14)+SheriffCostsFromBid-(V14)*(1-RTTPurchase))))))</f>
        <v/>
      </c>
      <c r="Y14" s="32" t="str">
        <f aca="false">IF(A14="","",IFERROR(X14/W14/(M14/12),0))</f>
        <v/>
      </c>
      <c r="Z14" s="31" t="str">
        <f aca="false">IF(A14="","",N(Deals!N14)*12*(1-Vacancy)*(1-MgmtPct-MaintPct-CapexPct)-N(Deals!M14)*TaxRate-MAX(1,N(Deals!J14))*(InsPerUnit+WaterPerUnit)-N(Deals!T14)*12)</f>
        <v/>
      </c>
      <c r="AA14" s="31" t="str">
        <f aca="false">IF(A14="","",Q14+O14+P14*N14)</f>
        <v/>
      </c>
      <c r="AB14" s="31" t="str">
        <f aca="false">IF(A14="","",MAX(0,MIN(RefiLTV*N(Deals!M14),Z14/(RefiDSCR*12*PMT(RefiRate/12,RefiTerm*12,-1)))))</f>
        <v/>
      </c>
      <c r="AC14" s="31" t="str">
        <f aca="false">IF(A14="","",Z14-AB14*12*PMT(RefiRate/12,RefiTerm*12,-1))</f>
        <v/>
      </c>
      <c r="AD14" s="31" t="str">
        <f aca="false">IF(A14="","",IF(N(Deals!S14)=0,MAX(0,(Z14/HoldTarget-AA14)/(1+BuyerPremium)),IF((Z14/HoldTarget-AA14)&gt;=(N(Deals!S14)+SheriffCostsFromBid)/(1-RTTPurchase)*(1+BuyerPremium),(Z14/HoldTarget-AA14)/(1+BuyerPremium),MAX(0,((Z14/HoldTarget-AA14)-N(Deals!S14)-SheriffCostsFromBid)/(BuyerPremium+RTTPurchase)))))</f>
        <v/>
      </c>
      <c r="AE14" s="31" t="str">
        <f aca="false">IF(A14="","",IF(AC14&lt;=0,0,IF(N(Deals!S14)=0,MAX(0,(AC14/HoldTarget+AB14*(1-RefiCostPct)-AA14)/(1+BuyerPremium)),IF((AC14/HoldTarget+AB14*(1-RefiCostPct)-AA14)&gt;=(N(Deals!S14)+SheriffCostsFromBid)/(1-RTTPurchase)*(1+BuyerPremium),(AC14/HoldTarget+AB14*(1-RefiCostPct)-AA14)/(1+BuyerPremium),MAX(0,((AC14/HoldTarget+AB14*(1-RefiCostPct)-AA14)-N(Deals!S14)-SheriffCostsFromBid)/(BuyerPremium+RTTPurchase))))))</f>
        <v/>
      </c>
      <c r="AF14" s="31" t="str">
        <f aca="false">IF(A14="","",IF(HoldMeasure="Cash-on-cash",AE14,AD14))</f>
        <v/>
      </c>
      <c r="AG14" s="31" t="str">
        <f aca="false">IF(A14="","",((AF14)*(1+BuyerPremium)+IF(N(Deals!S14)=0,0,MIN(N(Deals!S14),MAX(0,N(Deals!S14)+SheriffCostsFromBid-(AF14)*(1-RTTPurchase)))))+AA14)</f>
        <v/>
      </c>
      <c r="AH14" s="32" t="str">
        <f aca="false">IF(A14="","",IFERROR(Z14/AG14,0))</f>
        <v/>
      </c>
      <c r="AI14" s="31" t="str">
        <f aca="false">IF(A14="","",AG14-AB14*(1-RefiCostPct))</f>
        <v/>
      </c>
      <c r="AJ14" s="32" t="str">
        <f aca="false">IF(A14="","",IF(AI14&lt;=0,"All cash out",AC14/AI14))</f>
        <v/>
      </c>
      <c r="AK14" s="31" t="str">
        <f aca="false">IF(A14="","",IF(N(Deals!S14)=0,MAX(0,(T14-BuyerMarginPct*N(Deals!M14)-WholesaleMinFee)/(1+BuyerPremium)),IF((T14-BuyerMarginPct*N(Deals!M14)-WholesaleMinFee)&gt;=(N(Deals!S14)+SheriffCostsFromBid)/(1-RTTPurchase)*(1+BuyerPremium),(T14-BuyerMarginPct*N(Deals!M14)-WholesaleMinFee)/(1+BuyerPremium),MAX(0,((T14-BuyerMarginPct*N(Deals!M14)-WholesaleMinFee)-N(Deals!S14)-SheriffCostsFromBid)/(BuyerPremium+RTTPurchase)))))</f>
        <v/>
      </c>
      <c r="AL14" s="31" t="str">
        <f aca="false">IF(OR(A14="",N(Deals!U14)=0),"",Deals!U14*N(Deals!W14))</f>
        <v/>
      </c>
      <c r="AM14" s="31" t="str">
        <f aca="false">IF(AL14="","",DemoCost+N(Deals!V14)*BuildCostPSF*(1+SoftCostPct)+P14*(DeedMonths+K14*EjectMonths+BuildMonths+SellMonths)+Q14+AL14*(BrokerPct+SellerRTT+SellClosingPct+ConcessionsPct))</f>
        <v/>
      </c>
      <c r="AN14" s="31" t="str">
        <f aca="false">IF(AL14="","",IF(N(Deals!S14)=0,MAX(0,(AL14-AM14-MAX(FlipTarget,DevMarginPct*AL14))/(1+BuyerPremium)),IF((AL14-AM14-MAX(FlipTarget,DevMarginPct*AL14))&gt;=(N(Deals!S14)+SheriffCostsFromBid)/(1-RTTPurchase)*(1+BuyerPremium),(AL14-AM14-MAX(FlipTarget,DevMarginPct*AL14))/(1+BuyerPremium),MAX(0,((AL14-AM14-MAX(FlipTarget,DevMarginPct*AL14))-N(Deals!S14)-SheriffCostsFromBid)/(BuyerPremium+RTTPurchase)))))</f>
        <v/>
      </c>
    </row>
    <row r="15" customFormat="false" ht="15" hidden="false" customHeight="true" outlineLevel="0" collapsed="false">
      <c r="A15" s="27" t="str">
        <f aca="false">IF(Deals!A15="","",Deals!A15)</f>
        <v/>
      </c>
      <c r="B15" s="1" t="str">
        <f aca="false">IF(A15="","",Deals!B15)</f>
        <v/>
      </c>
      <c r="C15" s="26" t="str">
        <f aca="false">IF(A15="","",IF(MAX(V15,AF15)&lt;=0,"Pass",IF(V15&gt;=AF15,"Flip","Value-add hold")))</f>
        <v/>
      </c>
      <c r="D15" s="28" t="str">
        <f aca="false">IF(A15="","",MAX(V15,AF15))</f>
        <v/>
      </c>
      <c r="E15" s="29" t="str">
        <f aca="false">IF(A15="","",IF(D15&lt;=0,"Pass",IF(N(Deals!D15)&lt;=1,"$1 = awaiting minimum bid; re-check the morning of Nov 3",IF(D15&lt;Deals!D15,"Max bid below opening bid: pass","Room of "&amp;TEXT(D15-Deals!D15,"$#,##0")&amp;" over opening bid"))))</f>
        <v/>
      </c>
      <c r="F15" s="28" t="str">
        <f aca="false">IF(A15="","",IF(C15="Flip",W15,IF(C15="Value-add hold",AG15,0)))</f>
        <v/>
      </c>
      <c r="G15" s="29" t="str">
        <f aca="false">IF(A15="","",IF(C15="Flip",TEXT(X15,"$#,##0")&amp;" profit, "&amp;TEXT(Y15,"0%")&amp;"/yr over "&amp;TEXT(M15,"0")&amp;" mo",IF(C15="Value-add hold",TEXT(AH15,"0.0%")&amp;" yield on cost; "&amp;IF(ISNUMBER(AJ15),TEXT(AJ15,"0.0%")&amp;" cash-on-cash after refi","all cash out at refi"),"")))</f>
        <v/>
      </c>
      <c r="H15" s="26" t="str">
        <f aca="false">IF(A15="","",IF(C15="Flip",IF(W15&lt;=FlipCeiling,"In $300k flip box","Over flip ceiling: needs to be exceptional"),IF(C15="Value-add hold","Value-add","")))</f>
        <v/>
      </c>
      <c r="I15" s="29" t="str">
        <f aca="false">IF(A15="","",TRIM(IF(AK15&gt;D15,"Wholesale assignment supports "&amp;TEXT(AK15,"$#,##0")&amp;". ","")&amp;IF(AND(ISNUMBER(AN15),N(AN15)&gt;D15),"Teardown/new units supports "&amp;TEXT(AN15,"$#,##0")&amp;".","")))</f>
        <v/>
      </c>
      <c r="J15" s="29" t="str">
        <f aca="false">IF(A15="","",TRIM(IF(Deals!F15="2nd","Plaintiff is 2nd: add senior mortgage to surviving liens. ",IF(Deals!F15&lt;&gt;"1st","Lien position unconfirmed. ",""))&amp;IF(N(Deals!M15)=0,"No ARV yet. ","")&amp;IF(N(Deals!G15)=0,"No building sf: rehab is allowance only. ","")&amp;IF(AND(N(Deals!S15)&gt;0,D15&gt;0,D15*(1-RTTPurchase)-SheriffCostsFromBid&lt;N(Deals!S15)),"City claims not fully paid at max bid; unpaid part is counted as cost. ","")&amp;IF(K15=1,"Occupancy assumed: +"&amp;TEXT(EjectMonths,"0")&amp;" mo and possession cost. ","")))</f>
        <v/>
      </c>
      <c r="K15" s="27" t="str">
        <f aca="false">IF(A15="","",IF(OR(Deals!Q15="Occupied",AND(Deals!Q15&lt;&gt;"Vacant",UnknownAsOccupied="Y")),1,0))</f>
        <v/>
      </c>
      <c r="L15" s="30" t="str">
        <f aca="false">IF(A15="","",IFERROR(INDEX(ScopeMonths,MATCH(Deals!O15,ScopeNames,0)),INDEX(ScopeMonths,3)))</f>
        <v/>
      </c>
      <c r="M15" s="30" t="str">
        <f aca="false">IF(A15="","",DeedMonths+K15*EjectMonths+L15+SellMonths)</f>
        <v/>
      </c>
      <c r="N15" s="30" t="str">
        <f aca="false">IF(A15="","",DeedMonths+K15*EjectMonths+L15+LeaseUpMonths)</f>
        <v/>
      </c>
      <c r="O15" s="31" t="str">
        <f aca="false">IF(A15="","",N(Deals!G15)*IFERROR(INDEX(ScopePSF,MATCH(Deals!O15,ScopeNames,0)),INDEX(ScopePSF,3))*(1+Contingency)+BlindAllowance+N(Deals!P15))</f>
        <v/>
      </c>
      <c r="P15" s="31" t="str">
        <f aca="false">IF(A15="","",IF(N(Deals!K15)&gt;0,Deals!K15,N(Deals!M15))*TaxRate/12+VacantInsMo+SecuringMo+UtilitiesMo+N(Deals!T15))</f>
        <v/>
      </c>
      <c r="Q15" s="31" t="str">
        <f aca="false">IF(A15="","",SheriffFees+PurchaseTitle+CompelDeedLegal+K15*PossessionCost+N(Deals!R15)+N(Deals!T15)*HOAArrearsMonths)</f>
        <v/>
      </c>
      <c r="R15" s="31" t="str">
        <f aca="false">IF(A15="","",N(Deals!M15)*(BrokerPct+SellerRTT+SellClosingPct+ConcessionsPct))</f>
        <v/>
      </c>
      <c r="S15" s="31" t="str">
        <f aca="false">IF(A15="","",Q15+O15+P15*M15)</f>
        <v/>
      </c>
      <c r="T15" s="31" t="str">
        <f aca="false">IF(A15="","",N(Deals!M15)-R15-S15)</f>
        <v/>
      </c>
      <c r="U15" s="31" t="str">
        <f aca="false">IF(A15="","",MIN(T15-FlipTarget,(T15-FlipMinAnnROI*M15/12*S15)/(1+FlipMinAnnROI*M15/12)))</f>
        <v/>
      </c>
      <c r="V15" s="31" t="str">
        <f aca="false">IF(A15="","",IF(N(Deals!S15)=0,MAX(0,(U15)/(1+BuyerPremium)),IF((U15)&gt;=(N(Deals!S15)+SheriffCostsFromBid)/(1-RTTPurchase)*(1+BuyerPremium),(U15)/(1+BuyerPremium),MAX(0,((U15)-N(Deals!S15)-SheriffCostsFromBid)/(BuyerPremium+RTTPurchase)))))</f>
        <v/>
      </c>
      <c r="W15" s="31" t="str">
        <f aca="false">IF(A15="","",((V15)*(1+BuyerPremium)+IF(N(Deals!S15)=0,0,MIN(N(Deals!S15),MAX(0,N(Deals!S15)+SheriffCostsFromBid-(V15)*(1-RTTPurchase)))))+S15)</f>
        <v/>
      </c>
      <c r="X15" s="31" t="str">
        <f aca="false">IF(A15="","",T15-((V15)*(1+BuyerPremium)+IF(N(Deals!S15)=0,0,MIN(N(Deals!S15),MAX(0,N(Deals!S15)+SheriffCostsFromBid-(V15)*(1-RTTPurchase))))))</f>
        <v/>
      </c>
      <c r="Y15" s="32" t="str">
        <f aca="false">IF(A15="","",IFERROR(X15/W15/(M15/12),0))</f>
        <v/>
      </c>
      <c r="Z15" s="31" t="str">
        <f aca="false">IF(A15="","",N(Deals!N15)*12*(1-Vacancy)*(1-MgmtPct-MaintPct-CapexPct)-N(Deals!M15)*TaxRate-MAX(1,N(Deals!J15))*(InsPerUnit+WaterPerUnit)-N(Deals!T15)*12)</f>
        <v/>
      </c>
      <c r="AA15" s="31" t="str">
        <f aca="false">IF(A15="","",Q15+O15+P15*N15)</f>
        <v/>
      </c>
      <c r="AB15" s="31" t="str">
        <f aca="false">IF(A15="","",MAX(0,MIN(RefiLTV*N(Deals!M15),Z15/(RefiDSCR*12*PMT(RefiRate/12,RefiTerm*12,-1)))))</f>
        <v/>
      </c>
      <c r="AC15" s="31" t="str">
        <f aca="false">IF(A15="","",Z15-AB15*12*PMT(RefiRate/12,RefiTerm*12,-1))</f>
        <v/>
      </c>
      <c r="AD15" s="31" t="str">
        <f aca="false">IF(A15="","",IF(N(Deals!S15)=0,MAX(0,(Z15/HoldTarget-AA15)/(1+BuyerPremium)),IF((Z15/HoldTarget-AA15)&gt;=(N(Deals!S15)+SheriffCostsFromBid)/(1-RTTPurchase)*(1+BuyerPremium),(Z15/HoldTarget-AA15)/(1+BuyerPremium),MAX(0,((Z15/HoldTarget-AA15)-N(Deals!S15)-SheriffCostsFromBid)/(BuyerPremium+RTTPurchase)))))</f>
        <v/>
      </c>
      <c r="AE15" s="31" t="str">
        <f aca="false">IF(A15="","",IF(AC15&lt;=0,0,IF(N(Deals!S15)=0,MAX(0,(AC15/HoldTarget+AB15*(1-RefiCostPct)-AA15)/(1+BuyerPremium)),IF((AC15/HoldTarget+AB15*(1-RefiCostPct)-AA15)&gt;=(N(Deals!S15)+SheriffCostsFromBid)/(1-RTTPurchase)*(1+BuyerPremium),(AC15/HoldTarget+AB15*(1-RefiCostPct)-AA15)/(1+BuyerPremium),MAX(0,((AC15/HoldTarget+AB15*(1-RefiCostPct)-AA15)-N(Deals!S15)-SheriffCostsFromBid)/(BuyerPremium+RTTPurchase))))))</f>
        <v/>
      </c>
      <c r="AF15" s="31" t="str">
        <f aca="false">IF(A15="","",IF(HoldMeasure="Cash-on-cash",AE15,AD15))</f>
        <v/>
      </c>
      <c r="AG15" s="31" t="str">
        <f aca="false">IF(A15="","",((AF15)*(1+BuyerPremium)+IF(N(Deals!S15)=0,0,MIN(N(Deals!S15),MAX(0,N(Deals!S15)+SheriffCostsFromBid-(AF15)*(1-RTTPurchase)))))+AA15)</f>
        <v/>
      </c>
      <c r="AH15" s="32" t="str">
        <f aca="false">IF(A15="","",IFERROR(Z15/AG15,0))</f>
        <v/>
      </c>
      <c r="AI15" s="31" t="str">
        <f aca="false">IF(A15="","",AG15-AB15*(1-RefiCostPct))</f>
        <v/>
      </c>
      <c r="AJ15" s="32" t="str">
        <f aca="false">IF(A15="","",IF(AI15&lt;=0,"All cash out",AC15/AI15))</f>
        <v/>
      </c>
      <c r="AK15" s="31" t="str">
        <f aca="false">IF(A15="","",IF(N(Deals!S15)=0,MAX(0,(T15-BuyerMarginPct*N(Deals!M15)-WholesaleMinFee)/(1+BuyerPremium)),IF((T15-BuyerMarginPct*N(Deals!M15)-WholesaleMinFee)&gt;=(N(Deals!S15)+SheriffCostsFromBid)/(1-RTTPurchase)*(1+BuyerPremium),(T15-BuyerMarginPct*N(Deals!M15)-WholesaleMinFee)/(1+BuyerPremium),MAX(0,((T15-BuyerMarginPct*N(Deals!M15)-WholesaleMinFee)-N(Deals!S15)-SheriffCostsFromBid)/(BuyerPremium+RTTPurchase)))))</f>
        <v/>
      </c>
      <c r="AL15" s="31" t="str">
        <f aca="false">IF(OR(A15="",N(Deals!U15)=0),"",Deals!U15*N(Deals!W15))</f>
        <v/>
      </c>
      <c r="AM15" s="31" t="str">
        <f aca="false">IF(AL15="","",DemoCost+N(Deals!V15)*BuildCostPSF*(1+SoftCostPct)+P15*(DeedMonths+K15*EjectMonths+BuildMonths+SellMonths)+Q15+AL15*(BrokerPct+SellerRTT+SellClosingPct+ConcessionsPct))</f>
        <v/>
      </c>
      <c r="AN15" s="31" t="str">
        <f aca="false">IF(AL15="","",IF(N(Deals!S15)=0,MAX(0,(AL15-AM15-MAX(FlipTarget,DevMarginPct*AL15))/(1+BuyerPremium)),IF((AL15-AM15-MAX(FlipTarget,DevMarginPct*AL15))&gt;=(N(Deals!S15)+SheriffCostsFromBid)/(1-RTTPurchase)*(1+BuyerPremium),(AL15-AM15-MAX(FlipTarget,DevMarginPct*AL15))/(1+BuyerPremium),MAX(0,((AL15-AM15-MAX(FlipTarget,DevMarginPct*AL15))-N(Deals!S15)-SheriffCostsFromBid)/(BuyerPremium+RTTPurchase)))))</f>
        <v/>
      </c>
    </row>
    <row r="16" customFormat="false" ht="15" hidden="false" customHeight="true" outlineLevel="0" collapsed="false">
      <c r="A16" s="27" t="str">
        <f aca="false">IF(Deals!A16="","",Deals!A16)</f>
        <v/>
      </c>
      <c r="B16" s="1" t="str">
        <f aca="false">IF(A16="","",Deals!B16)</f>
        <v/>
      </c>
      <c r="C16" s="26" t="str">
        <f aca="false">IF(A16="","",IF(MAX(V16,AF16)&lt;=0,"Pass",IF(V16&gt;=AF16,"Flip","Value-add hold")))</f>
        <v/>
      </c>
      <c r="D16" s="28" t="str">
        <f aca="false">IF(A16="","",MAX(V16,AF16))</f>
        <v/>
      </c>
      <c r="E16" s="29" t="str">
        <f aca="false">IF(A16="","",IF(D16&lt;=0,"Pass",IF(N(Deals!D16)&lt;=1,"$1 = awaiting minimum bid; re-check the morning of Nov 3",IF(D16&lt;Deals!D16,"Max bid below opening bid: pass","Room of "&amp;TEXT(D16-Deals!D16,"$#,##0")&amp;" over opening bid"))))</f>
        <v/>
      </c>
      <c r="F16" s="28" t="str">
        <f aca="false">IF(A16="","",IF(C16="Flip",W16,IF(C16="Value-add hold",AG16,0)))</f>
        <v/>
      </c>
      <c r="G16" s="29" t="str">
        <f aca="false">IF(A16="","",IF(C16="Flip",TEXT(X16,"$#,##0")&amp;" profit, "&amp;TEXT(Y16,"0%")&amp;"/yr over "&amp;TEXT(M16,"0")&amp;" mo",IF(C16="Value-add hold",TEXT(AH16,"0.0%")&amp;" yield on cost; "&amp;IF(ISNUMBER(AJ16),TEXT(AJ16,"0.0%")&amp;" cash-on-cash after refi","all cash out at refi"),"")))</f>
        <v/>
      </c>
      <c r="H16" s="26" t="str">
        <f aca="false">IF(A16="","",IF(C16="Flip",IF(W16&lt;=FlipCeiling,"In $300k flip box","Over flip ceiling: needs to be exceptional"),IF(C16="Value-add hold","Value-add","")))</f>
        <v/>
      </c>
      <c r="I16" s="29" t="str">
        <f aca="false">IF(A16="","",TRIM(IF(AK16&gt;D16,"Wholesale assignment supports "&amp;TEXT(AK16,"$#,##0")&amp;". ","")&amp;IF(AND(ISNUMBER(AN16),N(AN16)&gt;D16),"Teardown/new units supports "&amp;TEXT(AN16,"$#,##0")&amp;".","")))</f>
        <v/>
      </c>
      <c r="J16" s="29" t="str">
        <f aca="false">IF(A16="","",TRIM(IF(Deals!F16="2nd","Plaintiff is 2nd: add senior mortgage to surviving liens. ",IF(Deals!F16&lt;&gt;"1st","Lien position unconfirmed. ",""))&amp;IF(N(Deals!M16)=0,"No ARV yet. ","")&amp;IF(N(Deals!G16)=0,"No building sf: rehab is allowance only. ","")&amp;IF(AND(N(Deals!S16)&gt;0,D16&gt;0,D16*(1-RTTPurchase)-SheriffCostsFromBid&lt;N(Deals!S16)),"City claims not fully paid at max bid; unpaid part is counted as cost. ","")&amp;IF(K16=1,"Occupancy assumed: +"&amp;TEXT(EjectMonths,"0")&amp;" mo and possession cost. ","")))</f>
        <v/>
      </c>
      <c r="K16" s="27" t="str">
        <f aca="false">IF(A16="","",IF(OR(Deals!Q16="Occupied",AND(Deals!Q16&lt;&gt;"Vacant",UnknownAsOccupied="Y")),1,0))</f>
        <v/>
      </c>
      <c r="L16" s="30" t="str">
        <f aca="false">IF(A16="","",IFERROR(INDEX(ScopeMonths,MATCH(Deals!O16,ScopeNames,0)),INDEX(ScopeMonths,3)))</f>
        <v/>
      </c>
      <c r="M16" s="30" t="str">
        <f aca="false">IF(A16="","",DeedMonths+K16*EjectMonths+L16+SellMonths)</f>
        <v/>
      </c>
      <c r="N16" s="30" t="str">
        <f aca="false">IF(A16="","",DeedMonths+K16*EjectMonths+L16+LeaseUpMonths)</f>
        <v/>
      </c>
      <c r="O16" s="31" t="str">
        <f aca="false">IF(A16="","",N(Deals!G16)*IFERROR(INDEX(ScopePSF,MATCH(Deals!O16,ScopeNames,0)),INDEX(ScopePSF,3))*(1+Contingency)+BlindAllowance+N(Deals!P16))</f>
        <v/>
      </c>
      <c r="P16" s="31" t="str">
        <f aca="false">IF(A16="","",IF(N(Deals!K16)&gt;0,Deals!K16,N(Deals!M16))*TaxRate/12+VacantInsMo+SecuringMo+UtilitiesMo+N(Deals!T16))</f>
        <v/>
      </c>
      <c r="Q16" s="31" t="str">
        <f aca="false">IF(A16="","",SheriffFees+PurchaseTitle+CompelDeedLegal+K16*PossessionCost+N(Deals!R16)+N(Deals!T16)*HOAArrearsMonths)</f>
        <v/>
      </c>
      <c r="R16" s="31" t="str">
        <f aca="false">IF(A16="","",N(Deals!M16)*(BrokerPct+SellerRTT+SellClosingPct+ConcessionsPct))</f>
        <v/>
      </c>
      <c r="S16" s="31" t="str">
        <f aca="false">IF(A16="","",Q16+O16+P16*M16)</f>
        <v/>
      </c>
      <c r="T16" s="31" t="str">
        <f aca="false">IF(A16="","",N(Deals!M16)-R16-S16)</f>
        <v/>
      </c>
      <c r="U16" s="31" t="str">
        <f aca="false">IF(A16="","",MIN(T16-FlipTarget,(T16-FlipMinAnnROI*M16/12*S16)/(1+FlipMinAnnROI*M16/12)))</f>
        <v/>
      </c>
      <c r="V16" s="31" t="str">
        <f aca="false">IF(A16="","",IF(N(Deals!S16)=0,MAX(0,(U16)/(1+BuyerPremium)),IF((U16)&gt;=(N(Deals!S16)+SheriffCostsFromBid)/(1-RTTPurchase)*(1+BuyerPremium),(U16)/(1+BuyerPremium),MAX(0,((U16)-N(Deals!S16)-SheriffCostsFromBid)/(BuyerPremium+RTTPurchase)))))</f>
        <v/>
      </c>
      <c r="W16" s="31" t="str">
        <f aca="false">IF(A16="","",((V16)*(1+BuyerPremium)+IF(N(Deals!S16)=0,0,MIN(N(Deals!S16),MAX(0,N(Deals!S16)+SheriffCostsFromBid-(V16)*(1-RTTPurchase)))))+S16)</f>
        <v/>
      </c>
      <c r="X16" s="31" t="str">
        <f aca="false">IF(A16="","",T16-((V16)*(1+BuyerPremium)+IF(N(Deals!S16)=0,0,MIN(N(Deals!S16),MAX(0,N(Deals!S16)+SheriffCostsFromBid-(V16)*(1-RTTPurchase))))))</f>
        <v/>
      </c>
      <c r="Y16" s="32" t="str">
        <f aca="false">IF(A16="","",IFERROR(X16/W16/(M16/12),0))</f>
        <v/>
      </c>
      <c r="Z16" s="31" t="str">
        <f aca="false">IF(A16="","",N(Deals!N16)*12*(1-Vacancy)*(1-MgmtPct-MaintPct-CapexPct)-N(Deals!M16)*TaxRate-MAX(1,N(Deals!J16))*(InsPerUnit+WaterPerUnit)-N(Deals!T16)*12)</f>
        <v/>
      </c>
      <c r="AA16" s="31" t="str">
        <f aca="false">IF(A16="","",Q16+O16+P16*N16)</f>
        <v/>
      </c>
      <c r="AB16" s="31" t="str">
        <f aca="false">IF(A16="","",MAX(0,MIN(RefiLTV*N(Deals!M16),Z16/(RefiDSCR*12*PMT(RefiRate/12,RefiTerm*12,-1)))))</f>
        <v/>
      </c>
      <c r="AC16" s="31" t="str">
        <f aca="false">IF(A16="","",Z16-AB16*12*PMT(RefiRate/12,RefiTerm*12,-1))</f>
        <v/>
      </c>
      <c r="AD16" s="31" t="str">
        <f aca="false">IF(A16="","",IF(N(Deals!S16)=0,MAX(0,(Z16/HoldTarget-AA16)/(1+BuyerPremium)),IF((Z16/HoldTarget-AA16)&gt;=(N(Deals!S16)+SheriffCostsFromBid)/(1-RTTPurchase)*(1+BuyerPremium),(Z16/HoldTarget-AA16)/(1+BuyerPremium),MAX(0,((Z16/HoldTarget-AA16)-N(Deals!S16)-SheriffCostsFromBid)/(BuyerPremium+RTTPurchase)))))</f>
        <v/>
      </c>
      <c r="AE16" s="31" t="str">
        <f aca="false">IF(A16="","",IF(AC16&lt;=0,0,IF(N(Deals!S16)=0,MAX(0,(AC16/HoldTarget+AB16*(1-RefiCostPct)-AA16)/(1+BuyerPremium)),IF((AC16/HoldTarget+AB16*(1-RefiCostPct)-AA16)&gt;=(N(Deals!S16)+SheriffCostsFromBid)/(1-RTTPurchase)*(1+BuyerPremium),(AC16/HoldTarget+AB16*(1-RefiCostPct)-AA16)/(1+BuyerPremium),MAX(0,((AC16/HoldTarget+AB16*(1-RefiCostPct)-AA16)-N(Deals!S16)-SheriffCostsFromBid)/(BuyerPremium+RTTPurchase))))))</f>
        <v/>
      </c>
      <c r="AF16" s="31" t="str">
        <f aca="false">IF(A16="","",IF(HoldMeasure="Cash-on-cash",AE16,AD16))</f>
        <v/>
      </c>
      <c r="AG16" s="31" t="str">
        <f aca="false">IF(A16="","",((AF16)*(1+BuyerPremium)+IF(N(Deals!S16)=0,0,MIN(N(Deals!S16),MAX(0,N(Deals!S16)+SheriffCostsFromBid-(AF16)*(1-RTTPurchase)))))+AA16)</f>
        <v/>
      </c>
      <c r="AH16" s="32" t="str">
        <f aca="false">IF(A16="","",IFERROR(Z16/AG16,0))</f>
        <v/>
      </c>
      <c r="AI16" s="31" t="str">
        <f aca="false">IF(A16="","",AG16-AB16*(1-RefiCostPct))</f>
        <v/>
      </c>
      <c r="AJ16" s="32" t="str">
        <f aca="false">IF(A16="","",IF(AI16&lt;=0,"All cash out",AC16/AI16))</f>
        <v/>
      </c>
      <c r="AK16" s="31" t="str">
        <f aca="false">IF(A16="","",IF(N(Deals!S16)=0,MAX(0,(T16-BuyerMarginPct*N(Deals!M16)-WholesaleMinFee)/(1+BuyerPremium)),IF((T16-BuyerMarginPct*N(Deals!M16)-WholesaleMinFee)&gt;=(N(Deals!S16)+SheriffCostsFromBid)/(1-RTTPurchase)*(1+BuyerPremium),(T16-BuyerMarginPct*N(Deals!M16)-WholesaleMinFee)/(1+BuyerPremium),MAX(0,((T16-BuyerMarginPct*N(Deals!M16)-WholesaleMinFee)-N(Deals!S16)-SheriffCostsFromBid)/(BuyerPremium+RTTPurchase)))))</f>
        <v/>
      </c>
      <c r="AL16" s="31" t="str">
        <f aca="false">IF(OR(A16="",N(Deals!U16)=0),"",Deals!U16*N(Deals!W16))</f>
        <v/>
      </c>
      <c r="AM16" s="31" t="str">
        <f aca="false">IF(AL16="","",DemoCost+N(Deals!V16)*BuildCostPSF*(1+SoftCostPct)+P16*(DeedMonths+K16*EjectMonths+BuildMonths+SellMonths)+Q16+AL16*(BrokerPct+SellerRTT+SellClosingPct+ConcessionsPct))</f>
        <v/>
      </c>
      <c r="AN16" s="31" t="str">
        <f aca="false">IF(AL16="","",IF(N(Deals!S16)=0,MAX(0,(AL16-AM16-MAX(FlipTarget,DevMarginPct*AL16))/(1+BuyerPremium)),IF((AL16-AM16-MAX(FlipTarget,DevMarginPct*AL16))&gt;=(N(Deals!S16)+SheriffCostsFromBid)/(1-RTTPurchase)*(1+BuyerPremium),(AL16-AM16-MAX(FlipTarget,DevMarginPct*AL16))/(1+BuyerPremium),MAX(0,((AL16-AM16-MAX(FlipTarget,DevMarginPct*AL16))-N(Deals!S16)-SheriffCostsFromBid)/(BuyerPremium+RTTPurchase)))))</f>
        <v/>
      </c>
    </row>
    <row r="17" customFormat="false" ht="15" hidden="false" customHeight="true" outlineLevel="0" collapsed="false">
      <c r="A17" s="27" t="str">
        <f aca="false">IF(Deals!A17="","",Deals!A17)</f>
        <v/>
      </c>
      <c r="B17" s="1" t="str">
        <f aca="false">IF(A17="","",Deals!B17)</f>
        <v/>
      </c>
      <c r="C17" s="26" t="str">
        <f aca="false">IF(A17="","",IF(MAX(V17,AF17)&lt;=0,"Pass",IF(V17&gt;=AF17,"Flip","Value-add hold")))</f>
        <v/>
      </c>
      <c r="D17" s="28" t="str">
        <f aca="false">IF(A17="","",MAX(V17,AF17))</f>
        <v/>
      </c>
      <c r="E17" s="29" t="str">
        <f aca="false">IF(A17="","",IF(D17&lt;=0,"Pass",IF(N(Deals!D17)&lt;=1,"$1 = awaiting minimum bid; re-check the morning of Nov 3",IF(D17&lt;Deals!D17,"Max bid below opening bid: pass","Room of "&amp;TEXT(D17-Deals!D17,"$#,##0")&amp;" over opening bid"))))</f>
        <v/>
      </c>
      <c r="F17" s="28" t="str">
        <f aca="false">IF(A17="","",IF(C17="Flip",W17,IF(C17="Value-add hold",AG17,0)))</f>
        <v/>
      </c>
      <c r="G17" s="29" t="str">
        <f aca="false">IF(A17="","",IF(C17="Flip",TEXT(X17,"$#,##0")&amp;" profit, "&amp;TEXT(Y17,"0%")&amp;"/yr over "&amp;TEXT(M17,"0")&amp;" mo",IF(C17="Value-add hold",TEXT(AH17,"0.0%")&amp;" yield on cost; "&amp;IF(ISNUMBER(AJ17),TEXT(AJ17,"0.0%")&amp;" cash-on-cash after refi","all cash out at refi"),"")))</f>
        <v/>
      </c>
      <c r="H17" s="26" t="str">
        <f aca="false">IF(A17="","",IF(C17="Flip",IF(W17&lt;=FlipCeiling,"In $300k flip box","Over flip ceiling: needs to be exceptional"),IF(C17="Value-add hold","Value-add","")))</f>
        <v/>
      </c>
      <c r="I17" s="29" t="str">
        <f aca="false">IF(A17="","",TRIM(IF(AK17&gt;D17,"Wholesale assignment supports "&amp;TEXT(AK17,"$#,##0")&amp;". ","")&amp;IF(AND(ISNUMBER(AN17),N(AN17)&gt;D17),"Teardown/new units supports "&amp;TEXT(AN17,"$#,##0")&amp;".","")))</f>
        <v/>
      </c>
      <c r="J17" s="29" t="str">
        <f aca="false">IF(A17="","",TRIM(IF(Deals!F17="2nd","Plaintiff is 2nd: add senior mortgage to surviving liens. ",IF(Deals!F17&lt;&gt;"1st","Lien position unconfirmed. ",""))&amp;IF(N(Deals!M17)=0,"No ARV yet. ","")&amp;IF(N(Deals!G17)=0,"No building sf: rehab is allowance only. ","")&amp;IF(AND(N(Deals!S17)&gt;0,D17&gt;0,D17*(1-RTTPurchase)-SheriffCostsFromBid&lt;N(Deals!S17)),"City claims not fully paid at max bid; unpaid part is counted as cost. ","")&amp;IF(K17=1,"Occupancy assumed: +"&amp;TEXT(EjectMonths,"0")&amp;" mo and possession cost. ","")))</f>
        <v/>
      </c>
      <c r="K17" s="27" t="str">
        <f aca="false">IF(A17="","",IF(OR(Deals!Q17="Occupied",AND(Deals!Q17&lt;&gt;"Vacant",UnknownAsOccupied="Y")),1,0))</f>
        <v/>
      </c>
      <c r="L17" s="30" t="str">
        <f aca="false">IF(A17="","",IFERROR(INDEX(ScopeMonths,MATCH(Deals!O17,ScopeNames,0)),INDEX(ScopeMonths,3)))</f>
        <v/>
      </c>
      <c r="M17" s="30" t="str">
        <f aca="false">IF(A17="","",DeedMonths+K17*EjectMonths+L17+SellMonths)</f>
        <v/>
      </c>
      <c r="N17" s="30" t="str">
        <f aca="false">IF(A17="","",DeedMonths+K17*EjectMonths+L17+LeaseUpMonths)</f>
        <v/>
      </c>
      <c r="O17" s="31" t="str">
        <f aca="false">IF(A17="","",N(Deals!G17)*IFERROR(INDEX(ScopePSF,MATCH(Deals!O17,ScopeNames,0)),INDEX(ScopePSF,3))*(1+Contingency)+BlindAllowance+N(Deals!P17))</f>
        <v/>
      </c>
      <c r="P17" s="31" t="str">
        <f aca="false">IF(A17="","",IF(N(Deals!K17)&gt;0,Deals!K17,N(Deals!M17))*TaxRate/12+VacantInsMo+SecuringMo+UtilitiesMo+N(Deals!T17))</f>
        <v/>
      </c>
      <c r="Q17" s="31" t="str">
        <f aca="false">IF(A17="","",SheriffFees+PurchaseTitle+CompelDeedLegal+K17*PossessionCost+N(Deals!R17)+N(Deals!T17)*HOAArrearsMonths)</f>
        <v/>
      </c>
      <c r="R17" s="31" t="str">
        <f aca="false">IF(A17="","",N(Deals!M17)*(BrokerPct+SellerRTT+SellClosingPct+ConcessionsPct))</f>
        <v/>
      </c>
      <c r="S17" s="31" t="str">
        <f aca="false">IF(A17="","",Q17+O17+P17*M17)</f>
        <v/>
      </c>
      <c r="T17" s="31" t="str">
        <f aca="false">IF(A17="","",N(Deals!M17)-R17-S17)</f>
        <v/>
      </c>
      <c r="U17" s="31" t="str">
        <f aca="false">IF(A17="","",MIN(T17-FlipTarget,(T17-FlipMinAnnROI*M17/12*S17)/(1+FlipMinAnnROI*M17/12)))</f>
        <v/>
      </c>
      <c r="V17" s="31" t="str">
        <f aca="false">IF(A17="","",IF(N(Deals!S17)=0,MAX(0,(U17)/(1+BuyerPremium)),IF((U17)&gt;=(N(Deals!S17)+SheriffCostsFromBid)/(1-RTTPurchase)*(1+BuyerPremium),(U17)/(1+BuyerPremium),MAX(0,((U17)-N(Deals!S17)-SheriffCostsFromBid)/(BuyerPremium+RTTPurchase)))))</f>
        <v/>
      </c>
      <c r="W17" s="31" t="str">
        <f aca="false">IF(A17="","",((V17)*(1+BuyerPremium)+IF(N(Deals!S17)=0,0,MIN(N(Deals!S17),MAX(0,N(Deals!S17)+SheriffCostsFromBid-(V17)*(1-RTTPurchase)))))+S17)</f>
        <v/>
      </c>
      <c r="X17" s="31" t="str">
        <f aca="false">IF(A17="","",T17-((V17)*(1+BuyerPremium)+IF(N(Deals!S17)=0,0,MIN(N(Deals!S17),MAX(0,N(Deals!S17)+SheriffCostsFromBid-(V17)*(1-RTTPurchase))))))</f>
        <v/>
      </c>
      <c r="Y17" s="32" t="str">
        <f aca="false">IF(A17="","",IFERROR(X17/W17/(M17/12),0))</f>
        <v/>
      </c>
      <c r="Z17" s="31" t="str">
        <f aca="false">IF(A17="","",N(Deals!N17)*12*(1-Vacancy)*(1-MgmtPct-MaintPct-CapexPct)-N(Deals!M17)*TaxRate-MAX(1,N(Deals!J17))*(InsPerUnit+WaterPerUnit)-N(Deals!T17)*12)</f>
        <v/>
      </c>
      <c r="AA17" s="31" t="str">
        <f aca="false">IF(A17="","",Q17+O17+P17*N17)</f>
        <v/>
      </c>
      <c r="AB17" s="31" t="str">
        <f aca="false">IF(A17="","",MAX(0,MIN(RefiLTV*N(Deals!M17),Z17/(RefiDSCR*12*PMT(RefiRate/12,RefiTerm*12,-1)))))</f>
        <v/>
      </c>
      <c r="AC17" s="31" t="str">
        <f aca="false">IF(A17="","",Z17-AB17*12*PMT(RefiRate/12,RefiTerm*12,-1))</f>
        <v/>
      </c>
      <c r="AD17" s="31" t="str">
        <f aca="false">IF(A17="","",IF(N(Deals!S17)=0,MAX(0,(Z17/HoldTarget-AA17)/(1+BuyerPremium)),IF((Z17/HoldTarget-AA17)&gt;=(N(Deals!S17)+SheriffCostsFromBid)/(1-RTTPurchase)*(1+BuyerPremium),(Z17/HoldTarget-AA17)/(1+BuyerPremium),MAX(0,((Z17/HoldTarget-AA17)-N(Deals!S17)-SheriffCostsFromBid)/(BuyerPremium+RTTPurchase)))))</f>
        <v/>
      </c>
      <c r="AE17" s="31" t="str">
        <f aca="false">IF(A17="","",IF(AC17&lt;=0,0,IF(N(Deals!S17)=0,MAX(0,(AC17/HoldTarget+AB17*(1-RefiCostPct)-AA17)/(1+BuyerPremium)),IF((AC17/HoldTarget+AB17*(1-RefiCostPct)-AA17)&gt;=(N(Deals!S17)+SheriffCostsFromBid)/(1-RTTPurchase)*(1+BuyerPremium),(AC17/HoldTarget+AB17*(1-RefiCostPct)-AA17)/(1+BuyerPremium),MAX(0,((AC17/HoldTarget+AB17*(1-RefiCostPct)-AA17)-N(Deals!S17)-SheriffCostsFromBid)/(BuyerPremium+RTTPurchase))))))</f>
        <v/>
      </c>
      <c r="AF17" s="31" t="str">
        <f aca="false">IF(A17="","",IF(HoldMeasure="Cash-on-cash",AE17,AD17))</f>
        <v/>
      </c>
      <c r="AG17" s="31" t="str">
        <f aca="false">IF(A17="","",((AF17)*(1+BuyerPremium)+IF(N(Deals!S17)=0,0,MIN(N(Deals!S17),MAX(0,N(Deals!S17)+SheriffCostsFromBid-(AF17)*(1-RTTPurchase)))))+AA17)</f>
        <v/>
      </c>
      <c r="AH17" s="32" t="str">
        <f aca="false">IF(A17="","",IFERROR(Z17/AG17,0))</f>
        <v/>
      </c>
      <c r="AI17" s="31" t="str">
        <f aca="false">IF(A17="","",AG17-AB17*(1-RefiCostPct))</f>
        <v/>
      </c>
      <c r="AJ17" s="32" t="str">
        <f aca="false">IF(A17="","",IF(AI17&lt;=0,"All cash out",AC17/AI17))</f>
        <v/>
      </c>
      <c r="AK17" s="31" t="str">
        <f aca="false">IF(A17="","",IF(N(Deals!S17)=0,MAX(0,(T17-BuyerMarginPct*N(Deals!M17)-WholesaleMinFee)/(1+BuyerPremium)),IF((T17-BuyerMarginPct*N(Deals!M17)-WholesaleMinFee)&gt;=(N(Deals!S17)+SheriffCostsFromBid)/(1-RTTPurchase)*(1+BuyerPremium),(T17-BuyerMarginPct*N(Deals!M17)-WholesaleMinFee)/(1+BuyerPremium),MAX(0,((T17-BuyerMarginPct*N(Deals!M17)-WholesaleMinFee)-N(Deals!S17)-SheriffCostsFromBid)/(BuyerPremium+RTTPurchase)))))</f>
        <v/>
      </c>
      <c r="AL17" s="31" t="str">
        <f aca="false">IF(OR(A17="",N(Deals!U17)=0),"",Deals!U17*N(Deals!W17))</f>
        <v/>
      </c>
      <c r="AM17" s="31" t="str">
        <f aca="false">IF(AL17="","",DemoCost+N(Deals!V17)*BuildCostPSF*(1+SoftCostPct)+P17*(DeedMonths+K17*EjectMonths+BuildMonths+SellMonths)+Q17+AL17*(BrokerPct+SellerRTT+SellClosingPct+ConcessionsPct))</f>
        <v/>
      </c>
      <c r="AN17" s="31" t="str">
        <f aca="false">IF(AL17="","",IF(N(Deals!S17)=0,MAX(0,(AL17-AM17-MAX(FlipTarget,DevMarginPct*AL17))/(1+BuyerPremium)),IF((AL17-AM17-MAX(FlipTarget,DevMarginPct*AL17))&gt;=(N(Deals!S17)+SheriffCostsFromBid)/(1-RTTPurchase)*(1+BuyerPremium),(AL17-AM17-MAX(FlipTarget,DevMarginPct*AL17))/(1+BuyerPremium),MAX(0,((AL17-AM17-MAX(FlipTarget,DevMarginPct*AL17))-N(Deals!S17)-SheriffCostsFromBid)/(BuyerPremium+RTTPurchase)))))</f>
        <v/>
      </c>
    </row>
    <row r="18" customFormat="false" ht="15" hidden="false" customHeight="true" outlineLevel="0" collapsed="false">
      <c r="A18" s="27" t="str">
        <f aca="false">IF(Deals!A18="","",Deals!A18)</f>
        <v/>
      </c>
      <c r="B18" s="1" t="str">
        <f aca="false">IF(A18="","",Deals!B18)</f>
        <v/>
      </c>
      <c r="C18" s="26" t="str">
        <f aca="false">IF(A18="","",IF(MAX(V18,AF18)&lt;=0,"Pass",IF(V18&gt;=AF18,"Flip","Value-add hold")))</f>
        <v/>
      </c>
      <c r="D18" s="28" t="str">
        <f aca="false">IF(A18="","",MAX(V18,AF18))</f>
        <v/>
      </c>
      <c r="E18" s="29" t="str">
        <f aca="false">IF(A18="","",IF(D18&lt;=0,"Pass",IF(N(Deals!D18)&lt;=1,"$1 = awaiting minimum bid; re-check the morning of Nov 3",IF(D18&lt;Deals!D18,"Max bid below opening bid: pass","Room of "&amp;TEXT(D18-Deals!D18,"$#,##0")&amp;" over opening bid"))))</f>
        <v/>
      </c>
      <c r="F18" s="28" t="str">
        <f aca="false">IF(A18="","",IF(C18="Flip",W18,IF(C18="Value-add hold",AG18,0)))</f>
        <v/>
      </c>
      <c r="G18" s="29" t="str">
        <f aca="false">IF(A18="","",IF(C18="Flip",TEXT(X18,"$#,##0")&amp;" profit, "&amp;TEXT(Y18,"0%")&amp;"/yr over "&amp;TEXT(M18,"0")&amp;" mo",IF(C18="Value-add hold",TEXT(AH18,"0.0%")&amp;" yield on cost; "&amp;IF(ISNUMBER(AJ18),TEXT(AJ18,"0.0%")&amp;" cash-on-cash after refi","all cash out at refi"),"")))</f>
        <v/>
      </c>
      <c r="H18" s="26" t="str">
        <f aca="false">IF(A18="","",IF(C18="Flip",IF(W18&lt;=FlipCeiling,"In $300k flip box","Over flip ceiling: needs to be exceptional"),IF(C18="Value-add hold","Value-add","")))</f>
        <v/>
      </c>
      <c r="I18" s="29" t="str">
        <f aca="false">IF(A18="","",TRIM(IF(AK18&gt;D18,"Wholesale assignment supports "&amp;TEXT(AK18,"$#,##0")&amp;". ","")&amp;IF(AND(ISNUMBER(AN18),N(AN18)&gt;D18),"Teardown/new units supports "&amp;TEXT(AN18,"$#,##0")&amp;".","")))</f>
        <v/>
      </c>
      <c r="J18" s="29" t="str">
        <f aca="false">IF(A18="","",TRIM(IF(Deals!F18="2nd","Plaintiff is 2nd: add senior mortgage to surviving liens. ",IF(Deals!F18&lt;&gt;"1st","Lien position unconfirmed. ",""))&amp;IF(N(Deals!M18)=0,"No ARV yet. ","")&amp;IF(N(Deals!G18)=0,"No building sf: rehab is allowance only. ","")&amp;IF(AND(N(Deals!S18)&gt;0,D18&gt;0,D18*(1-RTTPurchase)-SheriffCostsFromBid&lt;N(Deals!S18)),"City claims not fully paid at max bid; unpaid part is counted as cost. ","")&amp;IF(K18=1,"Occupancy assumed: +"&amp;TEXT(EjectMonths,"0")&amp;" mo and possession cost. ","")))</f>
        <v/>
      </c>
      <c r="K18" s="27" t="str">
        <f aca="false">IF(A18="","",IF(OR(Deals!Q18="Occupied",AND(Deals!Q18&lt;&gt;"Vacant",UnknownAsOccupied="Y")),1,0))</f>
        <v/>
      </c>
      <c r="L18" s="30" t="str">
        <f aca="false">IF(A18="","",IFERROR(INDEX(ScopeMonths,MATCH(Deals!O18,ScopeNames,0)),INDEX(ScopeMonths,3)))</f>
        <v/>
      </c>
      <c r="M18" s="30" t="str">
        <f aca="false">IF(A18="","",DeedMonths+K18*EjectMonths+L18+SellMonths)</f>
        <v/>
      </c>
      <c r="N18" s="30" t="str">
        <f aca="false">IF(A18="","",DeedMonths+K18*EjectMonths+L18+LeaseUpMonths)</f>
        <v/>
      </c>
      <c r="O18" s="31" t="str">
        <f aca="false">IF(A18="","",N(Deals!G18)*IFERROR(INDEX(ScopePSF,MATCH(Deals!O18,ScopeNames,0)),INDEX(ScopePSF,3))*(1+Contingency)+BlindAllowance+N(Deals!P18))</f>
        <v/>
      </c>
      <c r="P18" s="31" t="str">
        <f aca="false">IF(A18="","",IF(N(Deals!K18)&gt;0,Deals!K18,N(Deals!M18))*TaxRate/12+VacantInsMo+SecuringMo+UtilitiesMo+N(Deals!T18))</f>
        <v/>
      </c>
      <c r="Q18" s="31" t="str">
        <f aca="false">IF(A18="","",SheriffFees+PurchaseTitle+CompelDeedLegal+K18*PossessionCost+N(Deals!R18)+N(Deals!T18)*HOAArrearsMonths)</f>
        <v/>
      </c>
      <c r="R18" s="31" t="str">
        <f aca="false">IF(A18="","",N(Deals!M18)*(BrokerPct+SellerRTT+SellClosingPct+ConcessionsPct))</f>
        <v/>
      </c>
      <c r="S18" s="31" t="str">
        <f aca="false">IF(A18="","",Q18+O18+P18*M18)</f>
        <v/>
      </c>
      <c r="T18" s="31" t="str">
        <f aca="false">IF(A18="","",N(Deals!M18)-R18-S18)</f>
        <v/>
      </c>
      <c r="U18" s="31" t="str">
        <f aca="false">IF(A18="","",MIN(T18-FlipTarget,(T18-FlipMinAnnROI*M18/12*S18)/(1+FlipMinAnnROI*M18/12)))</f>
        <v/>
      </c>
      <c r="V18" s="31" t="str">
        <f aca="false">IF(A18="","",IF(N(Deals!S18)=0,MAX(0,(U18)/(1+BuyerPremium)),IF((U18)&gt;=(N(Deals!S18)+SheriffCostsFromBid)/(1-RTTPurchase)*(1+BuyerPremium),(U18)/(1+BuyerPremium),MAX(0,((U18)-N(Deals!S18)-SheriffCostsFromBid)/(BuyerPremium+RTTPurchase)))))</f>
        <v/>
      </c>
      <c r="W18" s="31" t="str">
        <f aca="false">IF(A18="","",((V18)*(1+BuyerPremium)+IF(N(Deals!S18)=0,0,MIN(N(Deals!S18),MAX(0,N(Deals!S18)+SheriffCostsFromBid-(V18)*(1-RTTPurchase)))))+S18)</f>
        <v/>
      </c>
      <c r="X18" s="31" t="str">
        <f aca="false">IF(A18="","",T18-((V18)*(1+BuyerPremium)+IF(N(Deals!S18)=0,0,MIN(N(Deals!S18),MAX(0,N(Deals!S18)+SheriffCostsFromBid-(V18)*(1-RTTPurchase))))))</f>
        <v/>
      </c>
      <c r="Y18" s="32" t="str">
        <f aca="false">IF(A18="","",IFERROR(X18/W18/(M18/12),0))</f>
        <v/>
      </c>
      <c r="Z18" s="31" t="str">
        <f aca="false">IF(A18="","",N(Deals!N18)*12*(1-Vacancy)*(1-MgmtPct-MaintPct-CapexPct)-N(Deals!M18)*TaxRate-MAX(1,N(Deals!J18))*(InsPerUnit+WaterPerUnit)-N(Deals!T18)*12)</f>
        <v/>
      </c>
      <c r="AA18" s="31" t="str">
        <f aca="false">IF(A18="","",Q18+O18+P18*N18)</f>
        <v/>
      </c>
      <c r="AB18" s="31" t="str">
        <f aca="false">IF(A18="","",MAX(0,MIN(RefiLTV*N(Deals!M18),Z18/(RefiDSCR*12*PMT(RefiRate/12,RefiTerm*12,-1)))))</f>
        <v/>
      </c>
      <c r="AC18" s="31" t="str">
        <f aca="false">IF(A18="","",Z18-AB18*12*PMT(RefiRate/12,RefiTerm*12,-1))</f>
        <v/>
      </c>
      <c r="AD18" s="31" t="str">
        <f aca="false">IF(A18="","",IF(N(Deals!S18)=0,MAX(0,(Z18/HoldTarget-AA18)/(1+BuyerPremium)),IF((Z18/HoldTarget-AA18)&gt;=(N(Deals!S18)+SheriffCostsFromBid)/(1-RTTPurchase)*(1+BuyerPremium),(Z18/HoldTarget-AA18)/(1+BuyerPremium),MAX(0,((Z18/HoldTarget-AA18)-N(Deals!S18)-SheriffCostsFromBid)/(BuyerPremium+RTTPurchase)))))</f>
        <v/>
      </c>
      <c r="AE18" s="31" t="str">
        <f aca="false">IF(A18="","",IF(AC18&lt;=0,0,IF(N(Deals!S18)=0,MAX(0,(AC18/HoldTarget+AB18*(1-RefiCostPct)-AA18)/(1+BuyerPremium)),IF((AC18/HoldTarget+AB18*(1-RefiCostPct)-AA18)&gt;=(N(Deals!S18)+SheriffCostsFromBid)/(1-RTTPurchase)*(1+BuyerPremium),(AC18/HoldTarget+AB18*(1-RefiCostPct)-AA18)/(1+BuyerPremium),MAX(0,((AC18/HoldTarget+AB18*(1-RefiCostPct)-AA18)-N(Deals!S18)-SheriffCostsFromBid)/(BuyerPremium+RTTPurchase))))))</f>
        <v/>
      </c>
      <c r="AF18" s="31" t="str">
        <f aca="false">IF(A18="","",IF(HoldMeasure="Cash-on-cash",AE18,AD18))</f>
        <v/>
      </c>
      <c r="AG18" s="31" t="str">
        <f aca="false">IF(A18="","",((AF18)*(1+BuyerPremium)+IF(N(Deals!S18)=0,0,MIN(N(Deals!S18),MAX(0,N(Deals!S18)+SheriffCostsFromBid-(AF18)*(1-RTTPurchase)))))+AA18)</f>
        <v/>
      </c>
      <c r="AH18" s="32" t="str">
        <f aca="false">IF(A18="","",IFERROR(Z18/AG18,0))</f>
        <v/>
      </c>
      <c r="AI18" s="31" t="str">
        <f aca="false">IF(A18="","",AG18-AB18*(1-RefiCostPct))</f>
        <v/>
      </c>
      <c r="AJ18" s="32" t="str">
        <f aca="false">IF(A18="","",IF(AI18&lt;=0,"All cash out",AC18/AI18))</f>
        <v/>
      </c>
      <c r="AK18" s="31" t="str">
        <f aca="false">IF(A18="","",IF(N(Deals!S18)=0,MAX(0,(T18-BuyerMarginPct*N(Deals!M18)-WholesaleMinFee)/(1+BuyerPremium)),IF((T18-BuyerMarginPct*N(Deals!M18)-WholesaleMinFee)&gt;=(N(Deals!S18)+SheriffCostsFromBid)/(1-RTTPurchase)*(1+BuyerPremium),(T18-BuyerMarginPct*N(Deals!M18)-WholesaleMinFee)/(1+BuyerPremium),MAX(0,((T18-BuyerMarginPct*N(Deals!M18)-WholesaleMinFee)-N(Deals!S18)-SheriffCostsFromBid)/(BuyerPremium+RTTPurchase)))))</f>
        <v/>
      </c>
      <c r="AL18" s="31" t="str">
        <f aca="false">IF(OR(A18="",N(Deals!U18)=0),"",Deals!U18*N(Deals!W18))</f>
        <v/>
      </c>
      <c r="AM18" s="31" t="str">
        <f aca="false">IF(AL18="","",DemoCost+N(Deals!V18)*BuildCostPSF*(1+SoftCostPct)+P18*(DeedMonths+K18*EjectMonths+BuildMonths+SellMonths)+Q18+AL18*(BrokerPct+SellerRTT+SellClosingPct+ConcessionsPct))</f>
        <v/>
      </c>
      <c r="AN18" s="31" t="str">
        <f aca="false">IF(AL18="","",IF(N(Deals!S18)=0,MAX(0,(AL18-AM18-MAX(FlipTarget,DevMarginPct*AL18))/(1+BuyerPremium)),IF((AL18-AM18-MAX(FlipTarget,DevMarginPct*AL18))&gt;=(N(Deals!S18)+SheriffCostsFromBid)/(1-RTTPurchase)*(1+BuyerPremium),(AL18-AM18-MAX(FlipTarget,DevMarginPct*AL18))/(1+BuyerPremium),MAX(0,((AL18-AM18-MAX(FlipTarget,DevMarginPct*AL18))-N(Deals!S18)-SheriffCostsFromBid)/(BuyerPremium+RTTPurchase)))))</f>
        <v/>
      </c>
    </row>
    <row r="19" customFormat="false" ht="15" hidden="false" customHeight="true" outlineLevel="0" collapsed="false">
      <c r="A19" s="27" t="str">
        <f aca="false">IF(Deals!A19="","",Deals!A19)</f>
        <v/>
      </c>
      <c r="B19" s="1" t="str">
        <f aca="false">IF(A19="","",Deals!B19)</f>
        <v/>
      </c>
      <c r="C19" s="26" t="str">
        <f aca="false">IF(A19="","",IF(MAX(V19,AF19)&lt;=0,"Pass",IF(V19&gt;=AF19,"Flip","Value-add hold")))</f>
        <v/>
      </c>
      <c r="D19" s="28" t="str">
        <f aca="false">IF(A19="","",MAX(V19,AF19))</f>
        <v/>
      </c>
      <c r="E19" s="29" t="str">
        <f aca="false">IF(A19="","",IF(D19&lt;=0,"Pass",IF(N(Deals!D19)&lt;=1,"$1 = awaiting minimum bid; re-check the morning of Nov 3",IF(D19&lt;Deals!D19,"Max bid below opening bid: pass","Room of "&amp;TEXT(D19-Deals!D19,"$#,##0")&amp;" over opening bid"))))</f>
        <v/>
      </c>
      <c r="F19" s="28" t="str">
        <f aca="false">IF(A19="","",IF(C19="Flip",W19,IF(C19="Value-add hold",AG19,0)))</f>
        <v/>
      </c>
      <c r="G19" s="29" t="str">
        <f aca="false">IF(A19="","",IF(C19="Flip",TEXT(X19,"$#,##0")&amp;" profit, "&amp;TEXT(Y19,"0%")&amp;"/yr over "&amp;TEXT(M19,"0")&amp;" mo",IF(C19="Value-add hold",TEXT(AH19,"0.0%")&amp;" yield on cost; "&amp;IF(ISNUMBER(AJ19),TEXT(AJ19,"0.0%")&amp;" cash-on-cash after refi","all cash out at refi"),"")))</f>
        <v/>
      </c>
      <c r="H19" s="26" t="str">
        <f aca="false">IF(A19="","",IF(C19="Flip",IF(W19&lt;=FlipCeiling,"In $300k flip box","Over flip ceiling: needs to be exceptional"),IF(C19="Value-add hold","Value-add","")))</f>
        <v/>
      </c>
      <c r="I19" s="29" t="str">
        <f aca="false">IF(A19="","",TRIM(IF(AK19&gt;D19,"Wholesale assignment supports "&amp;TEXT(AK19,"$#,##0")&amp;". ","")&amp;IF(AND(ISNUMBER(AN19),N(AN19)&gt;D19),"Teardown/new units supports "&amp;TEXT(AN19,"$#,##0")&amp;".","")))</f>
        <v/>
      </c>
      <c r="J19" s="29" t="str">
        <f aca="false">IF(A19="","",TRIM(IF(Deals!F19="2nd","Plaintiff is 2nd: add senior mortgage to surviving liens. ",IF(Deals!F19&lt;&gt;"1st","Lien position unconfirmed. ",""))&amp;IF(N(Deals!M19)=0,"No ARV yet. ","")&amp;IF(N(Deals!G19)=0,"No building sf: rehab is allowance only. ","")&amp;IF(AND(N(Deals!S19)&gt;0,D19&gt;0,D19*(1-RTTPurchase)-SheriffCostsFromBid&lt;N(Deals!S19)),"City claims not fully paid at max bid; unpaid part is counted as cost. ","")&amp;IF(K19=1,"Occupancy assumed: +"&amp;TEXT(EjectMonths,"0")&amp;" mo and possession cost. ","")))</f>
        <v/>
      </c>
      <c r="K19" s="27" t="str">
        <f aca="false">IF(A19="","",IF(OR(Deals!Q19="Occupied",AND(Deals!Q19&lt;&gt;"Vacant",UnknownAsOccupied="Y")),1,0))</f>
        <v/>
      </c>
      <c r="L19" s="30" t="str">
        <f aca="false">IF(A19="","",IFERROR(INDEX(ScopeMonths,MATCH(Deals!O19,ScopeNames,0)),INDEX(ScopeMonths,3)))</f>
        <v/>
      </c>
      <c r="M19" s="30" t="str">
        <f aca="false">IF(A19="","",DeedMonths+K19*EjectMonths+L19+SellMonths)</f>
        <v/>
      </c>
      <c r="N19" s="30" t="str">
        <f aca="false">IF(A19="","",DeedMonths+K19*EjectMonths+L19+LeaseUpMonths)</f>
        <v/>
      </c>
      <c r="O19" s="31" t="str">
        <f aca="false">IF(A19="","",N(Deals!G19)*IFERROR(INDEX(ScopePSF,MATCH(Deals!O19,ScopeNames,0)),INDEX(ScopePSF,3))*(1+Contingency)+BlindAllowance+N(Deals!P19))</f>
        <v/>
      </c>
      <c r="P19" s="31" t="str">
        <f aca="false">IF(A19="","",IF(N(Deals!K19)&gt;0,Deals!K19,N(Deals!M19))*TaxRate/12+VacantInsMo+SecuringMo+UtilitiesMo+N(Deals!T19))</f>
        <v/>
      </c>
      <c r="Q19" s="31" t="str">
        <f aca="false">IF(A19="","",SheriffFees+PurchaseTitle+CompelDeedLegal+K19*PossessionCost+N(Deals!R19)+N(Deals!T19)*HOAArrearsMonths)</f>
        <v/>
      </c>
      <c r="R19" s="31" t="str">
        <f aca="false">IF(A19="","",N(Deals!M19)*(BrokerPct+SellerRTT+SellClosingPct+ConcessionsPct))</f>
        <v/>
      </c>
      <c r="S19" s="31" t="str">
        <f aca="false">IF(A19="","",Q19+O19+P19*M19)</f>
        <v/>
      </c>
      <c r="T19" s="31" t="str">
        <f aca="false">IF(A19="","",N(Deals!M19)-R19-S19)</f>
        <v/>
      </c>
      <c r="U19" s="31" t="str">
        <f aca="false">IF(A19="","",MIN(T19-FlipTarget,(T19-FlipMinAnnROI*M19/12*S19)/(1+FlipMinAnnROI*M19/12)))</f>
        <v/>
      </c>
      <c r="V19" s="31" t="str">
        <f aca="false">IF(A19="","",IF(N(Deals!S19)=0,MAX(0,(U19)/(1+BuyerPremium)),IF((U19)&gt;=(N(Deals!S19)+SheriffCostsFromBid)/(1-RTTPurchase)*(1+BuyerPremium),(U19)/(1+BuyerPremium),MAX(0,((U19)-N(Deals!S19)-SheriffCostsFromBid)/(BuyerPremium+RTTPurchase)))))</f>
        <v/>
      </c>
      <c r="W19" s="31" t="str">
        <f aca="false">IF(A19="","",((V19)*(1+BuyerPremium)+IF(N(Deals!S19)=0,0,MIN(N(Deals!S19),MAX(0,N(Deals!S19)+SheriffCostsFromBid-(V19)*(1-RTTPurchase)))))+S19)</f>
        <v/>
      </c>
      <c r="X19" s="31" t="str">
        <f aca="false">IF(A19="","",T19-((V19)*(1+BuyerPremium)+IF(N(Deals!S19)=0,0,MIN(N(Deals!S19),MAX(0,N(Deals!S19)+SheriffCostsFromBid-(V19)*(1-RTTPurchase))))))</f>
        <v/>
      </c>
      <c r="Y19" s="32" t="str">
        <f aca="false">IF(A19="","",IFERROR(X19/W19/(M19/12),0))</f>
        <v/>
      </c>
      <c r="Z19" s="31" t="str">
        <f aca="false">IF(A19="","",N(Deals!N19)*12*(1-Vacancy)*(1-MgmtPct-MaintPct-CapexPct)-N(Deals!M19)*TaxRate-MAX(1,N(Deals!J19))*(InsPerUnit+WaterPerUnit)-N(Deals!T19)*12)</f>
        <v/>
      </c>
      <c r="AA19" s="31" t="str">
        <f aca="false">IF(A19="","",Q19+O19+P19*N19)</f>
        <v/>
      </c>
      <c r="AB19" s="31" t="str">
        <f aca="false">IF(A19="","",MAX(0,MIN(RefiLTV*N(Deals!M19),Z19/(RefiDSCR*12*PMT(RefiRate/12,RefiTerm*12,-1)))))</f>
        <v/>
      </c>
      <c r="AC19" s="31" t="str">
        <f aca="false">IF(A19="","",Z19-AB19*12*PMT(RefiRate/12,RefiTerm*12,-1))</f>
        <v/>
      </c>
      <c r="AD19" s="31" t="str">
        <f aca="false">IF(A19="","",IF(N(Deals!S19)=0,MAX(0,(Z19/HoldTarget-AA19)/(1+BuyerPremium)),IF((Z19/HoldTarget-AA19)&gt;=(N(Deals!S19)+SheriffCostsFromBid)/(1-RTTPurchase)*(1+BuyerPremium),(Z19/HoldTarget-AA19)/(1+BuyerPremium),MAX(0,((Z19/HoldTarget-AA19)-N(Deals!S19)-SheriffCostsFromBid)/(BuyerPremium+RTTPurchase)))))</f>
        <v/>
      </c>
      <c r="AE19" s="31" t="str">
        <f aca="false">IF(A19="","",IF(AC19&lt;=0,0,IF(N(Deals!S19)=0,MAX(0,(AC19/HoldTarget+AB19*(1-RefiCostPct)-AA19)/(1+BuyerPremium)),IF((AC19/HoldTarget+AB19*(1-RefiCostPct)-AA19)&gt;=(N(Deals!S19)+SheriffCostsFromBid)/(1-RTTPurchase)*(1+BuyerPremium),(AC19/HoldTarget+AB19*(1-RefiCostPct)-AA19)/(1+BuyerPremium),MAX(0,((AC19/HoldTarget+AB19*(1-RefiCostPct)-AA19)-N(Deals!S19)-SheriffCostsFromBid)/(BuyerPremium+RTTPurchase))))))</f>
        <v/>
      </c>
      <c r="AF19" s="31" t="str">
        <f aca="false">IF(A19="","",IF(HoldMeasure="Cash-on-cash",AE19,AD19))</f>
        <v/>
      </c>
      <c r="AG19" s="31" t="str">
        <f aca="false">IF(A19="","",((AF19)*(1+BuyerPremium)+IF(N(Deals!S19)=0,0,MIN(N(Deals!S19),MAX(0,N(Deals!S19)+SheriffCostsFromBid-(AF19)*(1-RTTPurchase)))))+AA19)</f>
        <v/>
      </c>
      <c r="AH19" s="32" t="str">
        <f aca="false">IF(A19="","",IFERROR(Z19/AG19,0))</f>
        <v/>
      </c>
      <c r="AI19" s="31" t="str">
        <f aca="false">IF(A19="","",AG19-AB19*(1-RefiCostPct))</f>
        <v/>
      </c>
      <c r="AJ19" s="32" t="str">
        <f aca="false">IF(A19="","",IF(AI19&lt;=0,"All cash out",AC19/AI19))</f>
        <v/>
      </c>
      <c r="AK19" s="31" t="str">
        <f aca="false">IF(A19="","",IF(N(Deals!S19)=0,MAX(0,(T19-BuyerMarginPct*N(Deals!M19)-WholesaleMinFee)/(1+BuyerPremium)),IF((T19-BuyerMarginPct*N(Deals!M19)-WholesaleMinFee)&gt;=(N(Deals!S19)+SheriffCostsFromBid)/(1-RTTPurchase)*(1+BuyerPremium),(T19-BuyerMarginPct*N(Deals!M19)-WholesaleMinFee)/(1+BuyerPremium),MAX(0,((T19-BuyerMarginPct*N(Deals!M19)-WholesaleMinFee)-N(Deals!S19)-SheriffCostsFromBid)/(BuyerPremium+RTTPurchase)))))</f>
        <v/>
      </c>
      <c r="AL19" s="31" t="str">
        <f aca="false">IF(OR(A19="",N(Deals!U19)=0),"",Deals!U19*N(Deals!W19))</f>
        <v/>
      </c>
      <c r="AM19" s="31" t="str">
        <f aca="false">IF(AL19="","",DemoCost+N(Deals!V19)*BuildCostPSF*(1+SoftCostPct)+P19*(DeedMonths+K19*EjectMonths+BuildMonths+SellMonths)+Q19+AL19*(BrokerPct+SellerRTT+SellClosingPct+ConcessionsPct))</f>
        <v/>
      </c>
      <c r="AN19" s="31" t="str">
        <f aca="false">IF(AL19="","",IF(N(Deals!S19)=0,MAX(0,(AL19-AM19-MAX(FlipTarget,DevMarginPct*AL19))/(1+BuyerPremium)),IF((AL19-AM19-MAX(FlipTarget,DevMarginPct*AL19))&gt;=(N(Deals!S19)+SheriffCostsFromBid)/(1-RTTPurchase)*(1+BuyerPremium),(AL19-AM19-MAX(FlipTarget,DevMarginPct*AL19))/(1+BuyerPremium),MAX(0,((AL19-AM19-MAX(FlipTarget,DevMarginPct*AL19))-N(Deals!S19)-SheriffCostsFromBid)/(BuyerPremium+RTTPurchase)))))</f>
        <v/>
      </c>
    </row>
    <row r="20" customFormat="false" ht="15" hidden="false" customHeight="true" outlineLevel="0" collapsed="false">
      <c r="A20" s="27" t="str">
        <f aca="false">IF(Deals!A20="","",Deals!A20)</f>
        <v/>
      </c>
      <c r="B20" s="1" t="str">
        <f aca="false">IF(A20="","",Deals!B20)</f>
        <v/>
      </c>
      <c r="C20" s="26" t="str">
        <f aca="false">IF(A20="","",IF(MAX(V20,AF20)&lt;=0,"Pass",IF(V20&gt;=AF20,"Flip","Value-add hold")))</f>
        <v/>
      </c>
      <c r="D20" s="28" t="str">
        <f aca="false">IF(A20="","",MAX(V20,AF20))</f>
        <v/>
      </c>
      <c r="E20" s="29" t="str">
        <f aca="false">IF(A20="","",IF(D20&lt;=0,"Pass",IF(N(Deals!D20)&lt;=1,"$1 = awaiting minimum bid; re-check the morning of Nov 3",IF(D20&lt;Deals!D20,"Max bid below opening bid: pass","Room of "&amp;TEXT(D20-Deals!D20,"$#,##0")&amp;" over opening bid"))))</f>
        <v/>
      </c>
      <c r="F20" s="28" t="str">
        <f aca="false">IF(A20="","",IF(C20="Flip",W20,IF(C20="Value-add hold",AG20,0)))</f>
        <v/>
      </c>
      <c r="G20" s="29" t="str">
        <f aca="false">IF(A20="","",IF(C20="Flip",TEXT(X20,"$#,##0")&amp;" profit, "&amp;TEXT(Y20,"0%")&amp;"/yr over "&amp;TEXT(M20,"0")&amp;" mo",IF(C20="Value-add hold",TEXT(AH20,"0.0%")&amp;" yield on cost; "&amp;IF(ISNUMBER(AJ20),TEXT(AJ20,"0.0%")&amp;" cash-on-cash after refi","all cash out at refi"),"")))</f>
        <v/>
      </c>
      <c r="H20" s="26" t="str">
        <f aca="false">IF(A20="","",IF(C20="Flip",IF(W20&lt;=FlipCeiling,"In $300k flip box","Over flip ceiling: needs to be exceptional"),IF(C20="Value-add hold","Value-add","")))</f>
        <v/>
      </c>
      <c r="I20" s="29" t="str">
        <f aca="false">IF(A20="","",TRIM(IF(AK20&gt;D20,"Wholesale assignment supports "&amp;TEXT(AK20,"$#,##0")&amp;". ","")&amp;IF(AND(ISNUMBER(AN20),N(AN20)&gt;D20),"Teardown/new units supports "&amp;TEXT(AN20,"$#,##0")&amp;".","")))</f>
        <v/>
      </c>
      <c r="J20" s="29" t="str">
        <f aca="false">IF(A20="","",TRIM(IF(Deals!F20="2nd","Plaintiff is 2nd: add senior mortgage to surviving liens. ",IF(Deals!F20&lt;&gt;"1st","Lien position unconfirmed. ",""))&amp;IF(N(Deals!M20)=0,"No ARV yet. ","")&amp;IF(N(Deals!G20)=0,"No building sf: rehab is allowance only. ","")&amp;IF(AND(N(Deals!S20)&gt;0,D20&gt;0,D20*(1-RTTPurchase)-SheriffCostsFromBid&lt;N(Deals!S20)),"City claims not fully paid at max bid; unpaid part is counted as cost. ","")&amp;IF(K20=1,"Occupancy assumed: +"&amp;TEXT(EjectMonths,"0")&amp;" mo and possession cost. ","")))</f>
        <v/>
      </c>
      <c r="K20" s="27" t="str">
        <f aca="false">IF(A20="","",IF(OR(Deals!Q20="Occupied",AND(Deals!Q20&lt;&gt;"Vacant",UnknownAsOccupied="Y")),1,0))</f>
        <v/>
      </c>
      <c r="L20" s="30" t="str">
        <f aca="false">IF(A20="","",IFERROR(INDEX(ScopeMonths,MATCH(Deals!O20,ScopeNames,0)),INDEX(ScopeMonths,3)))</f>
        <v/>
      </c>
      <c r="M20" s="30" t="str">
        <f aca="false">IF(A20="","",DeedMonths+K20*EjectMonths+L20+SellMonths)</f>
        <v/>
      </c>
      <c r="N20" s="30" t="str">
        <f aca="false">IF(A20="","",DeedMonths+K20*EjectMonths+L20+LeaseUpMonths)</f>
        <v/>
      </c>
      <c r="O20" s="31" t="str">
        <f aca="false">IF(A20="","",N(Deals!G20)*IFERROR(INDEX(ScopePSF,MATCH(Deals!O20,ScopeNames,0)),INDEX(ScopePSF,3))*(1+Contingency)+BlindAllowance+N(Deals!P20))</f>
        <v/>
      </c>
      <c r="P20" s="31" t="str">
        <f aca="false">IF(A20="","",IF(N(Deals!K20)&gt;0,Deals!K20,N(Deals!M20))*TaxRate/12+VacantInsMo+SecuringMo+UtilitiesMo+N(Deals!T20))</f>
        <v/>
      </c>
      <c r="Q20" s="31" t="str">
        <f aca="false">IF(A20="","",SheriffFees+PurchaseTitle+CompelDeedLegal+K20*PossessionCost+N(Deals!R20)+N(Deals!T20)*HOAArrearsMonths)</f>
        <v/>
      </c>
      <c r="R20" s="31" t="str">
        <f aca="false">IF(A20="","",N(Deals!M20)*(BrokerPct+SellerRTT+SellClosingPct+ConcessionsPct))</f>
        <v/>
      </c>
      <c r="S20" s="31" t="str">
        <f aca="false">IF(A20="","",Q20+O20+P20*M20)</f>
        <v/>
      </c>
      <c r="T20" s="31" t="str">
        <f aca="false">IF(A20="","",N(Deals!M20)-R20-S20)</f>
        <v/>
      </c>
      <c r="U20" s="31" t="str">
        <f aca="false">IF(A20="","",MIN(T20-FlipTarget,(T20-FlipMinAnnROI*M20/12*S20)/(1+FlipMinAnnROI*M20/12)))</f>
        <v/>
      </c>
      <c r="V20" s="31" t="str">
        <f aca="false">IF(A20="","",IF(N(Deals!S20)=0,MAX(0,(U20)/(1+BuyerPremium)),IF((U20)&gt;=(N(Deals!S20)+SheriffCostsFromBid)/(1-RTTPurchase)*(1+BuyerPremium),(U20)/(1+BuyerPremium),MAX(0,((U20)-N(Deals!S20)-SheriffCostsFromBid)/(BuyerPremium+RTTPurchase)))))</f>
        <v/>
      </c>
      <c r="W20" s="31" t="str">
        <f aca="false">IF(A20="","",((V20)*(1+BuyerPremium)+IF(N(Deals!S20)=0,0,MIN(N(Deals!S20),MAX(0,N(Deals!S20)+SheriffCostsFromBid-(V20)*(1-RTTPurchase)))))+S20)</f>
        <v/>
      </c>
      <c r="X20" s="31" t="str">
        <f aca="false">IF(A20="","",T20-((V20)*(1+BuyerPremium)+IF(N(Deals!S20)=0,0,MIN(N(Deals!S20),MAX(0,N(Deals!S20)+SheriffCostsFromBid-(V20)*(1-RTTPurchase))))))</f>
        <v/>
      </c>
      <c r="Y20" s="32" t="str">
        <f aca="false">IF(A20="","",IFERROR(X20/W20/(M20/12),0))</f>
        <v/>
      </c>
      <c r="Z20" s="31" t="str">
        <f aca="false">IF(A20="","",N(Deals!N20)*12*(1-Vacancy)*(1-MgmtPct-MaintPct-CapexPct)-N(Deals!M20)*TaxRate-MAX(1,N(Deals!J20))*(InsPerUnit+WaterPerUnit)-N(Deals!T20)*12)</f>
        <v/>
      </c>
      <c r="AA20" s="31" t="str">
        <f aca="false">IF(A20="","",Q20+O20+P20*N20)</f>
        <v/>
      </c>
      <c r="AB20" s="31" t="str">
        <f aca="false">IF(A20="","",MAX(0,MIN(RefiLTV*N(Deals!M20),Z20/(RefiDSCR*12*PMT(RefiRate/12,RefiTerm*12,-1)))))</f>
        <v/>
      </c>
      <c r="AC20" s="31" t="str">
        <f aca="false">IF(A20="","",Z20-AB20*12*PMT(RefiRate/12,RefiTerm*12,-1))</f>
        <v/>
      </c>
      <c r="AD20" s="31" t="str">
        <f aca="false">IF(A20="","",IF(N(Deals!S20)=0,MAX(0,(Z20/HoldTarget-AA20)/(1+BuyerPremium)),IF((Z20/HoldTarget-AA20)&gt;=(N(Deals!S20)+SheriffCostsFromBid)/(1-RTTPurchase)*(1+BuyerPremium),(Z20/HoldTarget-AA20)/(1+BuyerPremium),MAX(0,((Z20/HoldTarget-AA20)-N(Deals!S20)-SheriffCostsFromBid)/(BuyerPremium+RTTPurchase)))))</f>
        <v/>
      </c>
      <c r="AE20" s="31" t="str">
        <f aca="false">IF(A20="","",IF(AC20&lt;=0,0,IF(N(Deals!S20)=0,MAX(0,(AC20/HoldTarget+AB20*(1-RefiCostPct)-AA20)/(1+BuyerPremium)),IF((AC20/HoldTarget+AB20*(1-RefiCostPct)-AA20)&gt;=(N(Deals!S20)+SheriffCostsFromBid)/(1-RTTPurchase)*(1+BuyerPremium),(AC20/HoldTarget+AB20*(1-RefiCostPct)-AA20)/(1+BuyerPremium),MAX(0,((AC20/HoldTarget+AB20*(1-RefiCostPct)-AA20)-N(Deals!S20)-SheriffCostsFromBid)/(BuyerPremium+RTTPurchase))))))</f>
        <v/>
      </c>
      <c r="AF20" s="31" t="str">
        <f aca="false">IF(A20="","",IF(HoldMeasure="Cash-on-cash",AE20,AD20))</f>
        <v/>
      </c>
      <c r="AG20" s="31" t="str">
        <f aca="false">IF(A20="","",((AF20)*(1+BuyerPremium)+IF(N(Deals!S20)=0,0,MIN(N(Deals!S20),MAX(0,N(Deals!S20)+SheriffCostsFromBid-(AF20)*(1-RTTPurchase)))))+AA20)</f>
        <v/>
      </c>
      <c r="AH20" s="32" t="str">
        <f aca="false">IF(A20="","",IFERROR(Z20/AG20,0))</f>
        <v/>
      </c>
      <c r="AI20" s="31" t="str">
        <f aca="false">IF(A20="","",AG20-AB20*(1-RefiCostPct))</f>
        <v/>
      </c>
      <c r="AJ20" s="32" t="str">
        <f aca="false">IF(A20="","",IF(AI20&lt;=0,"All cash out",AC20/AI20))</f>
        <v/>
      </c>
      <c r="AK20" s="31" t="str">
        <f aca="false">IF(A20="","",IF(N(Deals!S20)=0,MAX(0,(T20-BuyerMarginPct*N(Deals!M20)-WholesaleMinFee)/(1+BuyerPremium)),IF((T20-BuyerMarginPct*N(Deals!M20)-WholesaleMinFee)&gt;=(N(Deals!S20)+SheriffCostsFromBid)/(1-RTTPurchase)*(1+BuyerPremium),(T20-BuyerMarginPct*N(Deals!M20)-WholesaleMinFee)/(1+BuyerPremium),MAX(0,((T20-BuyerMarginPct*N(Deals!M20)-WholesaleMinFee)-N(Deals!S20)-SheriffCostsFromBid)/(BuyerPremium+RTTPurchase)))))</f>
        <v/>
      </c>
      <c r="AL20" s="31" t="str">
        <f aca="false">IF(OR(A20="",N(Deals!U20)=0),"",Deals!U20*N(Deals!W20))</f>
        <v/>
      </c>
      <c r="AM20" s="31" t="str">
        <f aca="false">IF(AL20="","",DemoCost+N(Deals!V20)*BuildCostPSF*(1+SoftCostPct)+P20*(DeedMonths+K20*EjectMonths+BuildMonths+SellMonths)+Q20+AL20*(BrokerPct+SellerRTT+SellClosingPct+ConcessionsPct))</f>
        <v/>
      </c>
      <c r="AN20" s="31" t="str">
        <f aca="false">IF(AL20="","",IF(N(Deals!S20)=0,MAX(0,(AL20-AM20-MAX(FlipTarget,DevMarginPct*AL20))/(1+BuyerPremium)),IF((AL20-AM20-MAX(FlipTarget,DevMarginPct*AL20))&gt;=(N(Deals!S20)+SheriffCostsFromBid)/(1-RTTPurchase)*(1+BuyerPremium),(AL20-AM20-MAX(FlipTarget,DevMarginPct*AL20))/(1+BuyerPremium),MAX(0,((AL20-AM20-MAX(FlipTarget,DevMarginPct*AL20))-N(Deals!S20)-SheriffCostsFromBid)/(BuyerPremium+RTTPurchase)))))</f>
        <v/>
      </c>
    </row>
    <row r="21" customFormat="false" ht="15" hidden="false" customHeight="true" outlineLevel="0" collapsed="false">
      <c r="A21" s="27" t="str">
        <f aca="false">IF(Deals!A21="","",Deals!A21)</f>
        <v/>
      </c>
      <c r="B21" s="1" t="str">
        <f aca="false">IF(A21="","",Deals!B21)</f>
        <v/>
      </c>
      <c r="C21" s="26" t="str">
        <f aca="false">IF(A21="","",IF(MAX(V21,AF21)&lt;=0,"Pass",IF(V21&gt;=AF21,"Flip","Value-add hold")))</f>
        <v/>
      </c>
      <c r="D21" s="28" t="str">
        <f aca="false">IF(A21="","",MAX(V21,AF21))</f>
        <v/>
      </c>
      <c r="E21" s="29" t="str">
        <f aca="false">IF(A21="","",IF(D21&lt;=0,"Pass",IF(N(Deals!D21)&lt;=1,"$1 = awaiting minimum bid; re-check the morning of Nov 3",IF(D21&lt;Deals!D21,"Max bid below opening bid: pass","Room of "&amp;TEXT(D21-Deals!D21,"$#,##0")&amp;" over opening bid"))))</f>
        <v/>
      </c>
      <c r="F21" s="28" t="str">
        <f aca="false">IF(A21="","",IF(C21="Flip",W21,IF(C21="Value-add hold",AG21,0)))</f>
        <v/>
      </c>
      <c r="G21" s="29" t="str">
        <f aca="false">IF(A21="","",IF(C21="Flip",TEXT(X21,"$#,##0")&amp;" profit, "&amp;TEXT(Y21,"0%")&amp;"/yr over "&amp;TEXT(M21,"0")&amp;" mo",IF(C21="Value-add hold",TEXT(AH21,"0.0%")&amp;" yield on cost; "&amp;IF(ISNUMBER(AJ21),TEXT(AJ21,"0.0%")&amp;" cash-on-cash after refi","all cash out at refi"),"")))</f>
        <v/>
      </c>
      <c r="H21" s="26" t="str">
        <f aca="false">IF(A21="","",IF(C21="Flip",IF(W21&lt;=FlipCeiling,"In $300k flip box","Over flip ceiling: needs to be exceptional"),IF(C21="Value-add hold","Value-add","")))</f>
        <v/>
      </c>
      <c r="I21" s="29" t="str">
        <f aca="false">IF(A21="","",TRIM(IF(AK21&gt;D21,"Wholesale assignment supports "&amp;TEXT(AK21,"$#,##0")&amp;". ","")&amp;IF(AND(ISNUMBER(AN21),N(AN21)&gt;D21),"Teardown/new units supports "&amp;TEXT(AN21,"$#,##0")&amp;".","")))</f>
        <v/>
      </c>
      <c r="J21" s="29" t="str">
        <f aca="false">IF(A21="","",TRIM(IF(Deals!F21="2nd","Plaintiff is 2nd: add senior mortgage to surviving liens. ",IF(Deals!F21&lt;&gt;"1st","Lien position unconfirmed. ",""))&amp;IF(N(Deals!M21)=0,"No ARV yet. ","")&amp;IF(N(Deals!G21)=0,"No building sf: rehab is allowance only. ","")&amp;IF(AND(N(Deals!S21)&gt;0,D21&gt;0,D21*(1-RTTPurchase)-SheriffCostsFromBid&lt;N(Deals!S21)),"City claims not fully paid at max bid; unpaid part is counted as cost. ","")&amp;IF(K21=1,"Occupancy assumed: +"&amp;TEXT(EjectMonths,"0")&amp;" mo and possession cost. ","")))</f>
        <v/>
      </c>
      <c r="K21" s="27" t="str">
        <f aca="false">IF(A21="","",IF(OR(Deals!Q21="Occupied",AND(Deals!Q21&lt;&gt;"Vacant",UnknownAsOccupied="Y")),1,0))</f>
        <v/>
      </c>
      <c r="L21" s="30" t="str">
        <f aca="false">IF(A21="","",IFERROR(INDEX(ScopeMonths,MATCH(Deals!O21,ScopeNames,0)),INDEX(ScopeMonths,3)))</f>
        <v/>
      </c>
      <c r="M21" s="30" t="str">
        <f aca="false">IF(A21="","",DeedMonths+K21*EjectMonths+L21+SellMonths)</f>
        <v/>
      </c>
      <c r="N21" s="30" t="str">
        <f aca="false">IF(A21="","",DeedMonths+K21*EjectMonths+L21+LeaseUpMonths)</f>
        <v/>
      </c>
      <c r="O21" s="31" t="str">
        <f aca="false">IF(A21="","",N(Deals!G21)*IFERROR(INDEX(ScopePSF,MATCH(Deals!O21,ScopeNames,0)),INDEX(ScopePSF,3))*(1+Contingency)+BlindAllowance+N(Deals!P21))</f>
        <v/>
      </c>
      <c r="P21" s="31" t="str">
        <f aca="false">IF(A21="","",IF(N(Deals!K21)&gt;0,Deals!K21,N(Deals!M21))*TaxRate/12+VacantInsMo+SecuringMo+UtilitiesMo+N(Deals!T21))</f>
        <v/>
      </c>
      <c r="Q21" s="31" t="str">
        <f aca="false">IF(A21="","",SheriffFees+PurchaseTitle+CompelDeedLegal+K21*PossessionCost+N(Deals!R21)+N(Deals!T21)*HOAArrearsMonths)</f>
        <v/>
      </c>
      <c r="R21" s="31" t="str">
        <f aca="false">IF(A21="","",N(Deals!M21)*(BrokerPct+SellerRTT+SellClosingPct+ConcessionsPct))</f>
        <v/>
      </c>
      <c r="S21" s="31" t="str">
        <f aca="false">IF(A21="","",Q21+O21+P21*M21)</f>
        <v/>
      </c>
      <c r="T21" s="31" t="str">
        <f aca="false">IF(A21="","",N(Deals!M21)-R21-S21)</f>
        <v/>
      </c>
      <c r="U21" s="31" t="str">
        <f aca="false">IF(A21="","",MIN(T21-FlipTarget,(T21-FlipMinAnnROI*M21/12*S21)/(1+FlipMinAnnROI*M21/12)))</f>
        <v/>
      </c>
      <c r="V21" s="31" t="str">
        <f aca="false">IF(A21="","",IF(N(Deals!S21)=0,MAX(0,(U21)/(1+BuyerPremium)),IF((U21)&gt;=(N(Deals!S21)+SheriffCostsFromBid)/(1-RTTPurchase)*(1+BuyerPremium),(U21)/(1+BuyerPremium),MAX(0,((U21)-N(Deals!S21)-SheriffCostsFromBid)/(BuyerPremium+RTTPurchase)))))</f>
        <v/>
      </c>
      <c r="W21" s="31" t="str">
        <f aca="false">IF(A21="","",((V21)*(1+BuyerPremium)+IF(N(Deals!S21)=0,0,MIN(N(Deals!S21),MAX(0,N(Deals!S21)+SheriffCostsFromBid-(V21)*(1-RTTPurchase)))))+S21)</f>
        <v/>
      </c>
      <c r="X21" s="31" t="str">
        <f aca="false">IF(A21="","",T21-((V21)*(1+BuyerPremium)+IF(N(Deals!S21)=0,0,MIN(N(Deals!S21),MAX(0,N(Deals!S21)+SheriffCostsFromBid-(V21)*(1-RTTPurchase))))))</f>
        <v/>
      </c>
      <c r="Y21" s="32" t="str">
        <f aca="false">IF(A21="","",IFERROR(X21/W21/(M21/12),0))</f>
        <v/>
      </c>
      <c r="Z21" s="31" t="str">
        <f aca="false">IF(A21="","",N(Deals!N21)*12*(1-Vacancy)*(1-MgmtPct-MaintPct-CapexPct)-N(Deals!M21)*TaxRate-MAX(1,N(Deals!J21))*(InsPerUnit+WaterPerUnit)-N(Deals!T21)*12)</f>
        <v/>
      </c>
      <c r="AA21" s="31" t="str">
        <f aca="false">IF(A21="","",Q21+O21+P21*N21)</f>
        <v/>
      </c>
      <c r="AB21" s="31" t="str">
        <f aca="false">IF(A21="","",MAX(0,MIN(RefiLTV*N(Deals!M21),Z21/(RefiDSCR*12*PMT(RefiRate/12,RefiTerm*12,-1)))))</f>
        <v/>
      </c>
      <c r="AC21" s="31" t="str">
        <f aca="false">IF(A21="","",Z21-AB21*12*PMT(RefiRate/12,RefiTerm*12,-1))</f>
        <v/>
      </c>
      <c r="AD21" s="31" t="str">
        <f aca="false">IF(A21="","",IF(N(Deals!S21)=0,MAX(0,(Z21/HoldTarget-AA21)/(1+BuyerPremium)),IF((Z21/HoldTarget-AA21)&gt;=(N(Deals!S21)+SheriffCostsFromBid)/(1-RTTPurchase)*(1+BuyerPremium),(Z21/HoldTarget-AA21)/(1+BuyerPremium),MAX(0,((Z21/HoldTarget-AA21)-N(Deals!S21)-SheriffCostsFromBid)/(BuyerPremium+RTTPurchase)))))</f>
        <v/>
      </c>
      <c r="AE21" s="31" t="str">
        <f aca="false">IF(A21="","",IF(AC21&lt;=0,0,IF(N(Deals!S21)=0,MAX(0,(AC21/HoldTarget+AB21*(1-RefiCostPct)-AA21)/(1+BuyerPremium)),IF((AC21/HoldTarget+AB21*(1-RefiCostPct)-AA21)&gt;=(N(Deals!S21)+SheriffCostsFromBid)/(1-RTTPurchase)*(1+BuyerPremium),(AC21/HoldTarget+AB21*(1-RefiCostPct)-AA21)/(1+BuyerPremium),MAX(0,((AC21/HoldTarget+AB21*(1-RefiCostPct)-AA21)-N(Deals!S21)-SheriffCostsFromBid)/(BuyerPremium+RTTPurchase))))))</f>
        <v/>
      </c>
      <c r="AF21" s="31" t="str">
        <f aca="false">IF(A21="","",IF(HoldMeasure="Cash-on-cash",AE21,AD21))</f>
        <v/>
      </c>
      <c r="AG21" s="31" t="str">
        <f aca="false">IF(A21="","",((AF21)*(1+BuyerPremium)+IF(N(Deals!S21)=0,0,MIN(N(Deals!S21),MAX(0,N(Deals!S21)+SheriffCostsFromBid-(AF21)*(1-RTTPurchase)))))+AA21)</f>
        <v/>
      </c>
      <c r="AH21" s="32" t="str">
        <f aca="false">IF(A21="","",IFERROR(Z21/AG21,0))</f>
        <v/>
      </c>
      <c r="AI21" s="31" t="str">
        <f aca="false">IF(A21="","",AG21-AB21*(1-RefiCostPct))</f>
        <v/>
      </c>
      <c r="AJ21" s="32" t="str">
        <f aca="false">IF(A21="","",IF(AI21&lt;=0,"All cash out",AC21/AI21))</f>
        <v/>
      </c>
      <c r="AK21" s="31" t="str">
        <f aca="false">IF(A21="","",IF(N(Deals!S21)=0,MAX(0,(T21-BuyerMarginPct*N(Deals!M21)-WholesaleMinFee)/(1+BuyerPremium)),IF((T21-BuyerMarginPct*N(Deals!M21)-WholesaleMinFee)&gt;=(N(Deals!S21)+SheriffCostsFromBid)/(1-RTTPurchase)*(1+BuyerPremium),(T21-BuyerMarginPct*N(Deals!M21)-WholesaleMinFee)/(1+BuyerPremium),MAX(0,((T21-BuyerMarginPct*N(Deals!M21)-WholesaleMinFee)-N(Deals!S21)-SheriffCostsFromBid)/(BuyerPremium+RTTPurchase)))))</f>
        <v/>
      </c>
      <c r="AL21" s="31" t="str">
        <f aca="false">IF(OR(A21="",N(Deals!U21)=0),"",Deals!U21*N(Deals!W21))</f>
        <v/>
      </c>
      <c r="AM21" s="31" t="str">
        <f aca="false">IF(AL21="","",DemoCost+N(Deals!V21)*BuildCostPSF*(1+SoftCostPct)+P21*(DeedMonths+K21*EjectMonths+BuildMonths+SellMonths)+Q21+AL21*(BrokerPct+SellerRTT+SellClosingPct+ConcessionsPct))</f>
        <v/>
      </c>
      <c r="AN21" s="31" t="str">
        <f aca="false">IF(AL21="","",IF(N(Deals!S21)=0,MAX(0,(AL21-AM21-MAX(FlipTarget,DevMarginPct*AL21))/(1+BuyerPremium)),IF((AL21-AM21-MAX(FlipTarget,DevMarginPct*AL21))&gt;=(N(Deals!S21)+SheriffCostsFromBid)/(1-RTTPurchase)*(1+BuyerPremium),(AL21-AM21-MAX(FlipTarget,DevMarginPct*AL21))/(1+BuyerPremium),MAX(0,((AL21-AM21-MAX(FlipTarget,DevMarginPct*AL21))-N(Deals!S21)-SheriffCostsFromBid)/(BuyerPremium+RTTPurchase)))))</f>
        <v/>
      </c>
    </row>
    <row r="22" customFormat="false" ht="15" hidden="false" customHeight="true" outlineLevel="0" collapsed="false">
      <c r="A22" s="27" t="str">
        <f aca="false">IF(Deals!A22="","",Deals!A22)</f>
        <v/>
      </c>
      <c r="B22" s="1" t="str">
        <f aca="false">IF(A22="","",Deals!B22)</f>
        <v/>
      </c>
      <c r="C22" s="26" t="str">
        <f aca="false">IF(A22="","",IF(MAX(V22,AF22)&lt;=0,"Pass",IF(V22&gt;=AF22,"Flip","Value-add hold")))</f>
        <v/>
      </c>
      <c r="D22" s="28" t="str">
        <f aca="false">IF(A22="","",MAX(V22,AF22))</f>
        <v/>
      </c>
      <c r="E22" s="29" t="str">
        <f aca="false">IF(A22="","",IF(D22&lt;=0,"Pass",IF(N(Deals!D22)&lt;=1,"$1 = awaiting minimum bid; re-check the morning of Nov 3",IF(D22&lt;Deals!D22,"Max bid below opening bid: pass","Room of "&amp;TEXT(D22-Deals!D22,"$#,##0")&amp;" over opening bid"))))</f>
        <v/>
      </c>
      <c r="F22" s="28" t="str">
        <f aca="false">IF(A22="","",IF(C22="Flip",W22,IF(C22="Value-add hold",AG22,0)))</f>
        <v/>
      </c>
      <c r="G22" s="29" t="str">
        <f aca="false">IF(A22="","",IF(C22="Flip",TEXT(X22,"$#,##0")&amp;" profit, "&amp;TEXT(Y22,"0%")&amp;"/yr over "&amp;TEXT(M22,"0")&amp;" mo",IF(C22="Value-add hold",TEXT(AH22,"0.0%")&amp;" yield on cost; "&amp;IF(ISNUMBER(AJ22),TEXT(AJ22,"0.0%")&amp;" cash-on-cash after refi","all cash out at refi"),"")))</f>
        <v/>
      </c>
      <c r="H22" s="26" t="str">
        <f aca="false">IF(A22="","",IF(C22="Flip",IF(W22&lt;=FlipCeiling,"In $300k flip box","Over flip ceiling: needs to be exceptional"),IF(C22="Value-add hold","Value-add","")))</f>
        <v/>
      </c>
      <c r="I22" s="29" t="str">
        <f aca="false">IF(A22="","",TRIM(IF(AK22&gt;D22,"Wholesale assignment supports "&amp;TEXT(AK22,"$#,##0")&amp;". ","")&amp;IF(AND(ISNUMBER(AN22),N(AN22)&gt;D22),"Teardown/new units supports "&amp;TEXT(AN22,"$#,##0")&amp;".","")))</f>
        <v/>
      </c>
      <c r="J22" s="29" t="str">
        <f aca="false">IF(A22="","",TRIM(IF(Deals!F22="2nd","Plaintiff is 2nd: add senior mortgage to surviving liens. ",IF(Deals!F22&lt;&gt;"1st","Lien position unconfirmed. ",""))&amp;IF(N(Deals!M22)=0,"No ARV yet. ","")&amp;IF(N(Deals!G22)=0,"No building sf: rehab is allowance only. ","")&amp;IF(AND(N(Deals!S22)&gt;0,D22&gt;0,D22*(1-RTTPurchase)-SheriffCostsFromBid&lt;N(Deals!S22)),"City claims not fully paid at max bid; unpaid part is counted as cost. ","")&amp;IF(K22=1,"Occupancy assumed: +"&amp;TEXT(EjectMonths,"0")&amp;" mo and possession cost. ","")))</f>
        <v/>
      </c>
      <c r="K22" s="27" t="str">
        <f aca="false">IF(A22="","",IF(OR(Deals!Q22="Occupied",AND(Deals!Q22&lt;&gt;"Vacant",UnknownAsOccupied="Y")),1,0))</f>
        <v/>
      </c>
      <c r="L22" s="30" t="str">
        <f aca="false">IF(A22="","",IFERROR(INDEX(ScopeMonths,MATCH(Deals!O22,ScopeNames,0)),INDEX(ScopeMonths,3)))</f>
        <v/>
      </c>
      <c r="M22" s="30" t="str">
        <f aca="false">IF(A22="","",DeedMonths+K22*EjectMonths+L22+SellMonths)</f>
        <v/>
      </c>
      <c r="N22" s="30" t="str">
        <f aca="false">IF(A22="","",DeedMonths+K22*EjectMonths+L22+LeaseUpMonths)</f>
        <v/>
      </c>
      <c r="O22" s="31" t="str">
        <f aca="false">IF(A22="","",N(Deals!G22)*IFERROR(INDEX(ScopePSF,MATCH(Deals!O22,ScopeNames,0)),INDEX(ScopePSF,3))*(1+Contingency)+BlindAllowance+N(Deals!P22))</f>
        <v/>
      </c>
      <c r="P22" s="31" t="str">
        <f aca="false">IF(A22="","",IF(N(Deals!K22)&gt;0,Deals!K22,N(Deals!M22))*TaxRate/12+VacantInsMo+SecuringMo+UtilitiesMo+N(Deals!T22))</f>
        <v/>
      </c>
      <c r="Q22" s="31" t="str">
        <f aca="false">IF(A22="","",SheriffFees+PurchaseTitle+CompelDeedLegal+K22*PossessionCost+N(Deals!R22)+N(Deals!T22)*HOAArrearsMonths)</f>
        <v/>
      </c>
      <c r="R22" s="31" t="str">
        <f aca="false">IF(A22="","",N(Deals!M22)*(BrokerPct+SellerRTT+SellClosingPct+ConcessionsPct))</f>
        <v/>
      </c>
      <c r="S22" s="31" t="str">
        <f aca="false">IF(A22="","",Q22+O22+P22*M22)</f>
        <v/>
      </c>
      <c r="T22" s="31" t="str">
        <f aca="false">IF(A22="","",N(Deals!M22)-R22-S22)</f>
        <v/>
      </c>
      <c r="U22" s="31" t="str">
        <f aca="false">IF(A22="","",MIN(T22-FlipTarget,(T22-FlipMinAnnROI*M22/12*S22)/(1+FlipMinAnnROI*M22/12)))</f>
        <v/>
      </c>
      <c r="V22" s="31" t="str">
        <f aca="false">IF(A22="","",IF(N(Deals!S22)=0,MAX(0,(U22)/(1+BuyerPremium)),IF((U22)&gt;=(N(Deals!S22)+SheriffCostsFromBid)/(1-RTTPurchase)*(1+BuyerPremium),(U22)/(1+BuyerPremium),MAX(0,((U22)-N(Deals!S22)-SheriffCostsFromBid)/(BuyerPremium+RTTPurchase)))))</f>
        <v/>
      </c>
      <c r="W22" s="31" t="str">
        <f aca="false">IF(A22="","",((V22)*(1+BuyerPremium)+IF(N(Deals!S22)=0,0,MIN(N(Deals!S22),MAX(0,N(Deals!S22)+SheriffCostsFromBid-(V22)*(1-RTTPurchase)))))+S22)</f>
        <v/>
      </c>
      <c r="X22" s="31" t="str">
        <f aca="false">IF(A22="","",T22-((V22)*(1+BuyerPremium)+IF(N(Deals!S22)=0,0,MIN(N(Deals!S22),MAX(0,N(Deals!S22)+SheriffCostsFromBid-(V22)*(1-RTTPurchase))))))</f>
        <v/>
      </c>
      <c r="Y22" s="32" t="str">
        <f aca="false">IF(A22="","",IFERROR(X22/W22/(M22/12),0))</f>
        <v/>
      </c>
      <c r="Z22" s="31" t="str">
        <f aca="false">IF(A22="","",N(Deals!N22)*12*(1-Vacancy)*(1-MgmtPct-MaintPct-CapexPct)-N(Deals!M22)*TaxRate-MAX(1,N(Deals!J22))*(InsPerUnit+WaterPerUnit)-N(Deals!T22)*12)</f>
        <v/>
      </c>
      <c r="AA22" s="31" t="str">
        <f aca="false">IF(A22="","",Q22+O22+P22*N22)</f>
        <v/>
      </c>
      <c r="AB22" s="31" t="str">
        <f aca="false">IF(A22="","",MAX(0,MIN(RefiLTV*N(Deals!M22),Z22/(RefiDSCR*12*PMT(RefiRate/12,RefiTerm*12,-1)))))</f>
        <v/>
      </c>
      <c r="AC22" s="31" t="str">
        <f aca="false">IF(A22="","",Z22-AB22*12*PMT(RefiRate/12,RefiTerm*12,-1))</f>
        <v/>
      </c>
      <c r="AD22" s="31" t="str">
        <f aca="false">IF(A22="","",IF(N(Deals!S22)=0,MAX(0,(Z22/HoldTarget-AA22)/(1+BuyerPremium)),IF((Z22/HoldTarget-AA22)&gt;=(N(Deals!S22)+SheriffCostsFromBid)/(1-RTTPurchase)*(1+BuyerPremium),(Z22/HoldTarget-AA22)/(1+BuyerPremium),MAX(0,((Z22/HoldTarget-AA22)-N(Deals!S22)-SheriffCostsFromBid)/(BuyerPremium+RTTPurchase)))))</f>
        <v/>
      </c>
      <c r="AE22" s="31" t="str">
        <f aca="false">IF(A22="","",IF(AC22&lt;=0,0,IF(N(Deals!S22)=0,MAX(0,(AC22/HoldTarget+AB22*(1-RefiCostPct)-AA22)/(1+BuyerPremium)),IF((AC22/HoldTarget+AB22*(1-RefiCostPct)-AA22)&gt;=(N(Deals!S22)+SheriffCostsFromBid)/(1-RTTPurchase)*(1+BuyerPremium),(AC22/HoldTarget+AB22*(1-RefiCostPct)-AA22)/(1+BuyerPremium),MAX(0,((AC22/HoldTarget+AB22*(1-RefiCostPct)-AA22)-N(Deals!S22)-SheriffCostsFromBid)/(BuyerPremium+RTTPurchase))))))</f>
        <v/>
      </c>
      <c r="AF22" s="31" t="str">
        <f aca="false">IF(A22="","",IF(HoldMeasure="Cash-on-cash",AE22,AD22))</f>
        <v/>
      </c>
      <c r="AG22" s="31" t="str">
        <f aca="false">IF(A22="","",((AF22)*(1+BuyerPremium)+IF(N(Deals!S22)=0,0,MIN(N(Deals!S22),MAX(0,N(Deals!S22)+SheriffCostsFromBid-(AF22)*(1-RTTPurchase)))))+AA22)</f>
        <v/>
      </c>
      <c r="AH22" s="32" t="str">
        <f aca="false">IF(A22="","",IFERROR(Z22/AG22,0))</f>
        <v/>
      </c>
      <c r="AI22" s="31" t="str">
        <f aca="false">IF(A22="","",AG22-AB22*(1-RefiCostPct))</f>
        <v/>
      </c>
      <c r="AJ22" s="32" t="str">
        <f aca="false">IF(A22="","",IF(AI22&lt;=0,"All cash out",AC22/AI22))</f>
        <v/>
      </c>
      <c r="AK22" s="31" t="str">
        <f aca="false">IF(A22="","",IF(N(Deals!S22)=0,MAX(0,(T22-BuyerMarginPct*N(Deals!M22)-WholesaleMinFee)/(1+BuyerPremium)),IF((T22-BuyerMarginPct*N(Deals!M22)-WholesaleMinFee)&gt;=(N(Deals!S22)+SheriffCostsFromBid)/(1-RTTPurchase)*(1+BuyerPremium),(T22-BuyerMarginPct*N(Deals!M22)-WholesaleMinFee)/(1+BuyerPremium),MAX(0,((T22-BuyerMarginPct*N(Deals!M22)-WholesaleMinFee)-N(Deals!S22)-SheriffCostsFromBid)/(BuyerPremium+RTTPurchase)))))</f>
        <v/>
      </c>
      <c r="AL22" s="31" t="str">
        <f aca="false">IF(OR(A22="",N(Deals!U22)=0),"",Deals!U22*N(Deals!W22))</f>
        <v/>
      </c>
      <c r="AM22" s="31" t="str">
        <f aca="false">IF(AL22="","",DemoCost+N(Deals!V22)*BuildCostPSF*(1+SoftCostPct)+P22*(DeedMonths+K22*EjectMonths+BuildMonths+SellMonths)+Q22+AL22*(BrokerPct+SellerRTT+SellClosingPct+ConcessionsPct))</f>
        <v/>
      </c>
      <c r="AN22" s="31" t="str">
        <f aca="false">IF(AL22="","",IF(N(Deals!S22)=0,MAX(0,(AL22-AM22-MAX(FlipTarget,DevMarginPct*AL22))/(1+BuyerPremium)),IF((AL22-AM22-MAX(FlipTarget,DevMarginPct*AL22))&gt;=(N(Deals!S22)+SheriffCostsFromBid)/(1-RTTPurchase)*(1+BuyerPremium),(AL22-AM22-MAX(FlipTarget,DevMarginPct*AL22))/(1+BuyerPremium),MAX(0,((AL22-AM22-MAX(FlipTarget,DevMarginPct*AL22))-N(Deals!S22)-SheriffCostsFromBid)/(BuyerPremium+RTTPurchase)))))</f>
        <v/>
      </c>
    </row>
    <row r="23" customFormat="false" ht="15" hidden="false" customHeight="true" outlineLevel="0" collapsed="false">
      <c r="A23" s="27" t="str">
        <f aca="false">IF(Deals!A23="","",Deals!A23)</f>
        <v/>
      </c>
      <c r="B23" s="1" t="str">
        <f aca="false">IF(A23="","",Deals!B23)</f>
        <v/>
      </c>
      <c r="C23" s="26" t="str">
        <f aca="false">IF(A23="","",IF(MAX(V23,AF23)&lt;=0,"Pass",IF(V23&gt;=AF23,"Flip","Value-add hold")))</f>
        <v/>
      </c>
      <c r="D23" s="28" t="str">
        <f aca="false">IF(A23="","",MAX(V23,AF23))</f>
        <v/>
      </c>
      <c r="E23" s="29" t="str">
        <f aca="false">IF(A23="","",IF(D23&lt;=0,"Pass",IF(N(Deals!D23)&lt;=1,"$1 = awaiting minimum bid; re-check the morning of Nov 3",IF(D23&lt;Deals!D23,"Max bid below opening bid: pass","Room of "&amp;TEXT(D23-Deals!D23,"$#,##0")&amp;" over opening bid"))))</f>
        <v/>
      </c>
      <c r="F23" s="28" t="str">
        <f aca="false">IF(A23="","",IF(C23="Flip",W23,IF(C23="Value-add hold",AG23,0)))</f>
        <v/>
      </c>
      <c r="G23" s="29" t="str">
        <f aca="false">IF(A23="","",IF(C23="Flip",TEXT(X23,"$#,##0")&amp;" profit, "&amp;TEXT(Y23,"0%")&amp;"/yr over "&amp;TEXT(M23,"0")&amp;" mo",IF(C23="Value-add hold",TEXT(AH23,"0.0%")&amp;" yield on cost; "&amp;IF(ISNUMBER(AJ23),TEXT(AJ23,"0.0%")&amp;" cash-on-cash after refi","all cash out at refi"),"")))</f>
        <v/>
      </c>
      <c r="H23" s="26" t="str">
        <f aca="false">IF(A23="","",IF(C23="Flip",IF(W23&lt;=FlipCeiling,"In $300k flip box","Over flip ceiling: needs to be exceptional"),IF(C23="Value-add hold","Value-add","")))</f>
        <v/>
      </c>
      <c r="I23" s="29" t="str">
        <f aca="false">IF(A23="","",TRIM(IF(AK23&gt;D23,"Wholesale assignment supports "&amp;TEXT(AK23,"$#,##0")&amp;". ","")&amp;IF(AND(ISNUMBER(AN23),N(AN23)&gt;D23),"Teardown/new units supports "&amp;TEXT(AN23,"$#,##0")&amp;".","")))</f>
        <v/>
      </c>
      <c r="J23" s="29" t="str">
        <f aca="false">IF(A23="","",TRIM(IF(Deals!F23="2nd","Plaintiff is 2nd: add senior mortgage to surviving liens. ",IF(Deals!F23&lt;&gt;"1st","Lien position unconfirmed. ",""))&amp;IF(N(Deals!M23)=0,"No ARV yet. ","")&amp;IF(N(Deals!G23)=0,"No building sf: rehab is allowance only. ","")&amp;IF(AND(N(Deals!S23)&gt;0,D23&gt;0,D23*(1-RTTPurchase)-SheriffCostsFromBid&lt;N(Deals!S23)),"City claims not fully paid at max bid; unpaid part is counted as cost. ","")&amp;IF(K23=1,"Occupancy assumed: +"&amp;TEXT(EjectMonths,"0")&amp;" mo and possession cost. ","")))</f>
        <v/>
      </c>
      <c r="K23" s="27" t="str">
        <f aca="false">IF(A23="","",IF(OR(Deals!Q23="Occupied",AND(Deals!Q23&lt;&gt;"Vacant",UnknownAsOccupied="Y")),1,0))</f>
        <v/>
      </c>
      <c r="L23" s="30" t="str">
        <f aca="false">IF(A23="","",IFERROR(INDEX(ScopeMonths,MATCH(Deals!O23,ScopeNames,0)),INDEX(ScopeMonths,3)))</f>
        <v/>
      </c>
      <c r="M23" s="30" t="str">
        <f aca="false">IF(A23="","",DeedMonths+K23*EjectMonths+L23+SellMonths)</f>
        <v/>
      </c>
      <c r="N23" s="30" t="str">
        <f aca="false">IF(A23="","",DeedMonths+K23*EjectMonths+L23+LeaseUpMonths)</f>
        <v/>
      </c>
      <c r="O23" s="31" t="str">
        <f aca="false">IF(A23="","",N(Deals!G23)*IFERROR(INDEX(ScopePSF,MATCH(Deals!O23,ScopeNames,0)),INDEX(ScopePSF,3))*(1+Contingency)+BlindAllowance+N(Deals!P23))</f>
        <v/>
      </c>
      <c r="P23" s="31" t="str">
        <f aca="false">IF(A23="","",IF(N(Deals!K23)&gt;0,Deals!K23,N(Deals!M23))*TaxRate/12+VacantInsMo+SecuringMo+UtilitiesMo+N(Deals!T23))</f>
        <v/>
      </c>
      <c r="Q23" s="31" t="str">
        <f aca="false">IF(A23="","",SheriffFees+PurchaseTitle+CompelDeedLegal+K23*PossessionCost+N(Deals!R23)+N(Deals!T23)*HOAArrearsMonths)</f>
        <v/>
      </c>
      <c r="R23" s="31" t="str">
        <f aca="false">IF(A23="","",N(Deals!M23)*(BrokerPct+SellerRTT+SellClosingPct+ConcessionsPct))</f>
        <v/>
      </c>
      <c r="S23" s="31" t="str">
        <f aca="false">IF(A23="","",Q23+O23+P23*M23)</f>
        <v/>
      </c>
      <c r="T23" s="31" t="str">
        <f aca="false">IF(A23="","",N(Deals!M23)-R23-S23)</f>
        <v/>
      </c>
      <c r="U23" s="31" t="str">
        <f aca="false">IF(A23="","",MIN(T23-FlipTarget,(T23-FlipMinAnnROI*M23/12*S23)/(1+FlipMinAnnROI*M23/12)))</f>
        <v/>
      </c>
      <c r="V23" s="31" t="str">
        <f aca="false">IF(A23="","",IF(N(Deals!S23)=0,MAX(0,(U23)/(1+BuyerPremium)),IF((U23)&gt;=(N(Deals!S23)+SheriffCostsFromBid)/(1-RTTPurchase)*(1+BuyerPremium),(U23)/(1+BuyerPremium),MAX(0,((U23)-N(Deals!S23)-SheriffCostsFromBid)/(BuyerPremium+RTTPurchase)))))</f>
        <v/>
      </c>
      <c r="W23" s="31" t="str">
        <f aca="false">IF(A23="","",((V23)*(1+BuyerPremium)+IF(N(Deals!S23)=0,0,MIN(N(Deals!S23),MAX(0,N(Deals!S23)+SheriffCostsFromBid-(V23)*(1-RTTPurchase)))))+S23)</f>
        <v/>
      </c>
      <c r="X23" s="31" t="str">
        <f aca="false">IF(A23="","",T23-((V23)*(1+BuyerPremium)+IF(N(Deals!S23)=0,0,MIN(N(Deals!S23),MAX(0,N(Deals!S23)+SheriffCostsFromBid-(V23)*(1-RTTPurchase))))))</f>
        <v/>
      </c>
      <c r="Y23" s="32" t="str">
        <f aca="false">IF(A23="","",IFERROR(X23/W23/(M23/12),0))</f>
        <v/>
      </c>
      <c r="Z23" s="31" t="str">
        <f aca="false">IF(A23="","",N(Deals!N23)*12*(1-Vacancy)*(1-MgmtPct-MaintPct-CapexPct)-N(Deals!M23)*TaxRate-MAX(1,N(Deals!J23))*(InsPerUnit+WaterPerUnit)-N(Deals!T23)*12)</f>
        <v/>
      </c>
      <c r="AA23" s="31" t="str">
        <f aca="false">IF(A23="","",Q23+O23+P23*N23)</f>
        <v/>
      </c>
      <c r="AB23" s="31" t="str">
        <f aca="false">IF(A23="","",MAX(0,MIN(RefiLTV*N(Deals!M23),Z23/(RefiDSCR*12*PMT(RefiRate/12,RefiTerm*12,-1)))))</f>
        <v/>
      </c>
      <c r="AC23" s="31" t="str">
        <f aca="false">IF(A23="","",Z23-AB23*12*PMT(RefiRate/12,RefiTerm*12,-1))</f>
        <v/>
      </c>
      <c r="AD23" s="31" t="str">
        <f aca="false">IF(A23="","",IF(N(Deals!S23)=0,MAX(0,(Z23/HoldTarget-AA23)/(1+BuyerPremium)),IF((Z23/HoldTarget-AA23)&gt;=(N(Deals!S23)+SheriffCostsFromBid)/(1-RTTPurchase)*(1+BuyerPremium),(Z23/HoldTarget-AA23)/(1+BuyerPremium),MAX(0,((Z23/HoldTarget-AA23)-N(Deals!S23)-SheriffCostsFromBid)/(BuyerPremium+RTTPurchase)))))</f>
        <v/>
      </c>
      <c r="AE23" s="31" t="str">
        <f aca="false">IF(A23="","",IF(AC23&lt;=0,0,IF(N(Deals!S23)=0,MAX(0,(AC23/HoldTarget+AB23*(1-RefiCostPct)-AA23)/(1+BuyerPremium)),IF((AC23/HoldTarget+AB23*(1-RefiCostPct)-AA23)&gt;=(N(Deals!S23)+SheriffCostsFromBid)/(1-RTTPurchase)*(1+BuyerPremium),(AC23/HoldTarget+AB23*(1-RefiCostPct)-AA23)/(1+BuyerPremium),MAX(0,((AC23/HoldTarget+AB23*(1-RefiCostPct)-AA23)-N(Deals!S23)-SheriffCostsFromBid)/(BuyerPremium+RTTPurchase))))))</f>
        <v/>
      </c>
      <c r="AF23" s="31" t="str">
        <f aca="false">IF(A23="","",IF(HoldMeasure="Cash-on-cash",AE23,AD23))</f>
        <v/>
      </c>
      <c r="AG23" s="31" t="str">
        <f aca="false">IF(A23="","",((AF23)*(1+BuyerPremium)+IF(N(Deals!S23)=0,0,MIN(N(Deals!S23),MAX(0,N(Deals!S23)+SheriffCostsFromBid-(AF23)*(1-RTTPurchase)))))+AA23)</f>
        <v/>
      </c>
      <c r="AH23" s="32" t="str">
        <f aca="false">IF(A23="","",IFERROR(Z23/AG23,0))</f>
        <v/>
      </c>
      <c r="AI23" s="31" t="str">
        <f aca="false">IF(A23="","",AG23-AB23*(1-RefiCostPct))</f>
        <v/>
      </c>
      <c r="AJ23" s="32" t="str">
        <f aca="false">IF(A23="","",IF(AI23&lt;=0,"All cash out",AC23/AI23))</f>
        <v/>
      </c>
      <c r="AK23" s="31" t="str">
        <f aca="false">IF(A23="","",IF(N(Deals!S23)=0,MAX(0,(T23-BuyerMarginPct*N(Deals!M23)-WholesaleMinFee)/(1+BuyerPremium)),IF((T23-BuyerMarginPct*N(Deals!M23)-WholesaleMinFee)&gt;=(N(Deals!S23)+SheriffCostsFromBid)/(1-RTTPurchase)*(1+BuyerPremium),(T23-BuyerMarginPct*N(Deals!M23)-WholesaleMinFee)/(1+BuyerPremium),MAX(0,((T23-BuyerMarginPct*N(Deals!M23)-WholesaleMinFee)-N(Deals!S23)-SheriffCostsFromBid)/(BuyerPremium+RTTPurchase)))))</f>
        <v/>
      </c>
      <c r="AL23" s="31" t="str">
        <f aca="false">IF(OR(A23="",N(Deals!U23)=0),"",Deals!U23*N(Deals!W23))</f>
        <v/>
      </c>
      <c r="AM23" s="31" t="str">
        <f aca="false">IF(AL23="","",DemoCost+N(Deals!V23)*BuildCostPSF*(1+SoftCostPct)+P23*(DeedMonths+K23*EjectMonths+BuildMonths+SellMonths)+Q23+AL23*(BrokerPct+SellerRTT+SellClosingPct+ConcessionsPct))</f>
        <v/>
      </c>
      <c r="AN23" s="31" t="str">
        <f aca="false">IF(AL23="","",IF(N(Deals!S23)=0,MAX(0,(AL23-AM23-MAX(FlipTarget,DevMarginPct*AL23))/(1+BuyerPremium)),IF((AL23-AM23-MAX(FlipTarget,DevMarginPct*AL23))&gt;=(N(Deals!S23)+SheriffCostsFromBid)/(1-RTTPurchase)*(1+BuyerPremium),(AL23-AM23-MAX(FlipTarget,DevMarginPct*AL23))/(1+BuyerPremium),MAX(0,((AL23-AM23-MAX(FlipTarget,DevMarginPct*AL23))-N(Deals!S23)-SheriffCostsFromBid)/(BuyerPremium+RTTPurchase)))))</f>
        <v/>
      </c>
    </row>
    <row r="24" customFormat="false" ht="15" hidden="false" customHeight="true" outlineLevel="0" collapsed="false">
      <c r="A24" s="27" t="str">
        <f aca="false">IF(Deals!A24="","",Deals!A24)</f>
        <v/>
      </c>
      <c r="B24" s="1" t="str">
        <f aca="false">IF(A24="","",Deals!B24)</f>
        <v/>
      </c>
      <c r="C24" s="26" t="str">
        <f aca="false">IF(A24="","",IF(MAX(V24,AF24)&lt;=0,"Pass",IF(V24&gt;=AF24,"Flip","Value-add hold")))</f>
        <v/>
      </c>
      <c r="D24" s="28" t="str">
        <f aca="false">IF(A24="","",MAX(V24,AF24))</f>
        <v/>
      </c>
      <c r="E24" s="29" t="str">
        <f aca="false">IF(A24="","",IF(D24&lt;=0,"Pass",IF(N(Deals!D24)&lt;=1,"$1 = awaiting minimum bid; re-check the morning of Nov 3",IF(D24&lt;Deals!D24,"Max bid below opening bid: pass","Room of "&amp;TEXT(D24-Deals!D24,"$#,##0")&amp;" over opening bid"))))</f>
        <v/>
      </c>
      <c r="F24" s="28" t="str">
        <f aca="false">IF(A24="","",IF(C24="Flip",W24,IF(C24="Value-add hold",AG24,0)))</f>
        <v/>
      </c>
      <c r="G24" s="29" t="str">
        <f aca="false">IF(A24="","",IF(C24="Flip",TEXT(X24,"$#,##0")&amp;" profit, "&amp;TEXT(Y24,"0%")&amp;"/yr over "&amp;TEXT(M24,"0")&amp;" mo",IF(C24="Value-add hold",TEXT(AH24,"0.0%")&amp;" yield on cost; "&amp;IF(ISNUMBER(AJ24),TEXT(AJ24,"0.0%")&amp;" cash-on-cash after refi","all cash out at refi"),"")))</f>
        <v/>
      </c>
      <c r="H24" s="26" t="str">
        <f aca="false">IF(A24="","",IF(C24="Flip",IF(W24&lt;=FlipCeiling,"In $300k flip box","Over flip ceiling: needs to be exceptional"),IF(C24="Value-add hold","Value-add","")))</f>
        <v/>
      </c>
      <c r="I24" s="29" t="str">
        <f aca="false">IF(A24="","",TRIM(IF(AK24&gt;D24,"Wholesale assignment supports "&amp;TEXT(AK24,"$#,##0")&amp;". ","")&amp;IF(AND(ISNUMBER(AN24),N(AN24)&gt;D24),"Teardown/new units supports "&amp;TEXT(AN24,"$#,##0")&amp;".","")))</f>
        <v/>
      </c>
      <c r="J24" s="29" t="str">
        <f aca="false">IF(A24="","",TRIM(IF(Deals!F24="2nd","Plaintiff is 2nd: add senior mortgage to surviving liens. ",IF(Deals!F24&lt;&gt;"1st","Lien position unconfirmed. ",""))&amp;IF(N(Deals!M24)=0,"No ARV yet. ","")&amp;IF(N(Deals!G24)=0,"No building sf: rehab is allowance only. ","")&amp;IF(AND(N(Deals!S24)&gt;0,D24&gt;0,D24*(1-RTTPurchase)-SheriffCostsFromBid&lt;N(Deals!S24)),"City claims not fully paid at max bid; unpaid part is counted as cost. ","")&amp;IF(K24=1,"Occupancy assumed: +"&amp;TEXT(EjectMonths,"0")&amp;" mo and possession cost. ","")))</f>
        <v/>
      </c>
      <c r="K24" s="27" t="str">
        <f aca="false">IF(A24="","",IF(OR(Deals!Q24="Occupied",AND(Deals!Q24&lt;&gt;"Vacant",UnknownAsOccupied="Y")),1,0))</f>
        <v/>
      </c>
      <c r="L24" s="30" t="str">
        <f aca="false">IF(A24="","",IFERROR(INDEX(ScopeMonths,MATCH(Deals!O24,ScopeNames,0)),INDEX(ScopeMonths,3)))</f>
        <v/>
      </c>
      <c r="M24" s="30" t="str">
        <f aca="false">IF(A24="","",DeedMonths+K24*EjectMonths+L24+SellMonths)</f>
        <v/>
      </c>
      <c r="N24" s="30" t="str">
        <f aca="false">IF(A24="","",DeedMonths+K24*EjectMonths+L24+LeaseUpMonths)</f>
        <v/>
      </c>
      <c r="O24" s="31" t="str">
        <f aca="false">IF(A24="","",N(Deals!G24)*IFERROR(INDEX(ScopePSF,MATCH(Deals!O24,ScopeNames,0)),INDEX(ScopePSF,3))*(1+Contingency)+BlindAllowance+N(Deals!P24))</f>
        <v/>
      </c>
      <c r="P24" s="31" t="str">
        <f aca="false">IF(A24="","",IF(N(Deals!K24)&gt;0,Deals!K24,N(Deals!M24))*TaxRate/12+VacantInsMo+SecuringMo+UtilitiesMo+N(Deals!T24))</f>
        <v/>
      </c>
      <c r="Q24" s="31" t="str">
        <f aca="false">IF(A24="","",SheriffFees+PurchaseTitle+CompelDeedLegal+K24*PossessionCost+N(Deals!R24)+N(Deals!T24)*HOAArrearsMonths)</f>
        <v/>
      </c>
      <c r="R24" s="31" t="str">
        <f aca="false">IF(A24="","",N(Deals!M24)*(BrokerPct+SellerRTT+SellClosingPct+ConcessionsPct))</f>
        <v/>
      </c>
      <c r="S24" s="31" t="str">
        <f aca="false">IF(A24="","",Q24+O24+P24*M24)</f>
        <v/>
      </c>
      <c r="T24" s="31" t="str">
        <f aca="false">IF(A24="","",N(Deals!M24)-R24-S24)</f>
        <v/>
      </c>
      <c r="U24" s="31" t="str">
        <f aca="false">IF(A24="","",MIN(T24-FlipTarget,(T24-FlipMinAnnROI*M24/12*S24)/(1+FlipMinAnnROI*M24/12)))</f>
        <v/>
      </c>
      <c r="V24" s="31" t="str">
        <f aca="false">IF(A24="","",IF(N(Deals!S24)=0,MAX(0,(U24)/(1+BuyerPremium)),IF((U24)&gt;=(N(Deals!S24)+SheriffCostsFromBid)/(1-RTTPurchase)*(1+BuyerPremium),(U24)/(1+BuyerPremium),MAX(0,((U24)-N(Deals!S24)-SheriffCostsFromBid)/(BuyerPremium+RTTPurchase)))))</f>
        <v/>
      </c>
      <c r="W24" s="31" t="str">
        <f aca="false">IF(A24="","",((V24)*(1+BuyerPremium)+IF(N(Deals!S24)=0,0,MIN(N(Deals!S24),MAX(0,N(Deals!S24)+SheriffCostsFromBid-(V24)*(1-RTTPurchase)))))+S24)</f>
        <v/>
      </c>
      <c r="X24" s="31" t="str">
        <f aca="false">IF(A24="","",T24-((V24)*(1+BuyerPremium)+IF(N(Deals!S24)=0,0,MIN(N(Deals!S24),MAX(0,N(Deals!S24)+SheriffCostsFromBid-(V24)*(1-RTTPurchase))))))</f>
        <v/>
      </c>
      <c r="Y24" s="32" t="str">
        <f aca="false">IF(A24="","",IFERROR(X24/W24/(M24/12),0))</f>
        <v/>
      </c>
      <c r="Z24" s="31" t="str">
        <f aca="false">IF(A24="","",N(Deals!N24)*12*(1-Vacancy)*(1-MgmtPct-MaintPct-CapexPct)-N(Deals!M24)*TaxRate-MAX(1,N(Deals!J24))*(InsPerUnit+WaterPerUnit)-N(Deals!T24)*12)</f>
        <v/>
      </c>
      <c r="AA24" s="31" t="str">
        <f aca="false">IF(A24="","",Q24+O24+P24*N24)</f>
        <v/>
      </c>
      <c r="AB24" s="31" t="str">
        <f aca="false">IF(A24="","",MAX(0,MIN(RefiLTV*N(Deals!M24),Z24/(RefiDSCR*12*PMT(RefiRate/12,RefiTerm*12,-1)))))</f>
        <v/>
      </c>
      <c r="AC24" s="31" t="str">
        <f aca="false">IF(A24="","",Z24-AB24*12*PMT(RefiRate/12,RefiTerm*12,-1))</f>
        <v/>
      </c>
      <c r="AD24" s="31" t="str">
        <f aca="false">IF(A24="","",IF(N(Deals!S24)=0,MAX(0,(Z24/HoldTarget-AA24)/(1+BuyerPremium)),IF((Z24/HoldTarget-AA24)&gt;=(N(Deals!S24)+SheriffCostsFromBid)/(1-RTTPurchase)*(1+BuyerPremium),(Z24/HoldTarget-AA24)/(1+BuyerPremium),MAX(0,((Z24/HoldTarget-AA24)-N(Deals!S24)-SheriffCostsFromBid)/(BuyerPremium+RTTPurchase)))))</f>
        <v/>
      </c>
      <c r="AE24" s="31" t="str">
        <f aca="false">IF(A24="","",IF(AC24&lt;=0,0,IF(N(Deals!S24)=0,MAX(0,(AC24/HoldTarget+AB24*(1-RefiCostPct)-AA24)/(1+BuyerPremium)),IF((AC24/HoldTarget+AB24*(1-RefiCostPct)-AA24)&gt;=(N(Deals!S24)+SheriffCostsFromBid)/(1-RTTPurchase)*(1+BuyerPremium),(AC24/HoldTarget+AB24*(1-RefiCostPct)-AA24)/(1+BuyerPremium),MAX(0,((AC24/HoldTarget+AB24*(1-RefiCostPct)-AA24)-N(Deals!S24)-SheriffCostsFromBid)/(BuyerPremium+RTTPurchase))))))</f>
        <v/>
      </c>
      <c r="AF24" s="31" t="str">
        <f aca="false">IF(A24="","",IF(HoldMeasure="Cash-on-cash",AE24,AD24))</f>
        <v/>
      </c>
      <c r="AG24" s="31" t="str">
        <f aca="false">IF(A24="","",((AF24)*(1+BuyerPremium)+IF(N(Deals!S24)=0,0,MIN(N(Deals!S24),MAX(0,N(Deals!S24)+SheriffCostsFromBid-(AF24)*(1-RTTPurchase)))))+AA24)</f>
        <v/>
      </c>
      <c r="AH24" s="32" t="str">
        <f aca="false">IF(A24="","",IFERROR(Z24/AG24,0))</f>
        <v/>
      </c>
      <c r="AI24" s="31" t="str">
        <f aca="false">IF(A24="","",AG24-AB24*(1-RefiCostPct))</f>
        <v/>
      </c>
      <c r="AJ24" s="32" t="str">
        <f aca="false">IF(A24="","",IF(AI24&lt;=0,"All cash out",AC24/AI24))</f>
        <v/>
      </c>
      <c r="AK24" s="31" t="str">
        <f aca="false">IF(A24="","",IF(N(Deals!S24)=0,MAX(0,(T24-BuyerMarginPct*N(Deals!M24)-WholesaleMinFee)/(1+BuyerPremium)),IF((T24-BuyerMarginPct*N(Deals!M24)-WholesaleMinFee)&gt;=(N(Deals!S24)+SheriffCostsFromBid)/(1-RTTPurchase)*(1+BuyerPremium),(T24-BuyerMarginPct*N(Deals!M24)-WholesaleMinFee)/(1+BuyerPremium),MAX(0,((T24-BuyerMarginPct*N(Deals!M24)-WholesaleMinFee)-N(Deals!S24)-SheriffCostsFromBid)/(BuyerPremium+RTTPurchase)))))</f>
        <v/>
      </c>
      <c r="AL24" s="31" t="str">
        <f aca="false">IF(OR(A24="",N(Deals!U24)=0),"",Deals!U24*N(Deals!W24))</f>
        <v/>
      </c>
      <c r="AM24" s="31" t="str">
        <f aca="false">IF(AL24="","",DemoCost+N(Deals!V24)*BuildCostPSF*(1+SoftCostPct)+P24*(DeedMonths+K24*EjectMonths+BuildMonths+SellMonths)+Q24+AL24*(BrokerPct+SellerRTT+SellClosingPct+ConcessionsPct))</f>
        <v/>
      </c>
      <c r="AN24" s="31" t="str">
        <f aca="false">IF(AL24="","",IF(N(Deals!S24)=0,MAX(0,(AL24-AM24-MAX(FlipTarget,DevMarginPct*AL24))/(1+BuyerPremium)),IF((AL24-AM24-MAX(FlipTarget,DevMarginPct*AL24))&gt;=(N(Deals!S24)+SheriffCostsFromBid)/(1-RTTPurchase)*(1+BuyerPremium),(AL24-AM24-MAX(FlipTarget,DevMarginPct*AL24))/(1+BuyerPremium),MAX(0,((AL24-AM24-MAX(FlipTarget,DevMarginPct*AL24))-N(Deals!S24)-SheriffCostsFromBid)/(BuyerPremium+RTTPurchase)))))</f>
        <v/>
      </c>
    </row>
    <row r="25" customFormat="false" ht="15" hidden="false" customHeight="true" outlineLevel="0" collapsed="false">
      <c r="A25" s="27" t="str">
        <f aca="false">IF(Deals!A25="","",Deals!A25)</f>
        <v/>
      </c>
      <c r="B25" s="1" t="str">
        <f aca="false">IF(A25="","",Deals!B25)</f>
        <v/>
      </c>
      <c r="C25" s="26" t="str">
        <f aca="false">IF(A25="","",IF(MAX(V25,AF25)&lt;=0,"Pass",IF(V25&gt;=AF25,"Flip","Value-add hold")))</f>
        <v/>
      </c>
      <c r="D25" s="28" t="str">
        <f aca="false">IF(A25="","",MAX(V25,AF25))</f>
        <v/>
      </c>
      <c r="E25" s="29" t="str">
        <f aca="false">IF(A25="","",IF(D25&lt;=0,"Pass",IF(N(Deals!D25)&lt;=1,"$1 = awaiting minimum bid; re-check the morning of Nov 3",IF(D25&lt;Deals!D25,"Max bid below opening bid: pass","Room of "&amp;TEXT(D25-Deals!D25,"$#,##0")&amp;" over opening bid"))))</f>
        <v/>
      </c>
      <c r="F25" s="28" t="str">
        <f aca="false">IF(A25="","",IF(C25="Flip",W25,IF(C25="Value-add hold",AG25,0)))</f>
        <v/>
      </c>
      <c r="G25" s="29" t="str">
        <f aca="false">IF(A25="","",IF(C25="Flip",TEXT(X25,"$#,##0")&amp;" profit, "&amp;TEXT(Y25,"0%")&amp;"/yr over "&amp;TEXT(M25,"0")&amp;" mo",IF(C25="Value-add hold",TEXT(AH25,"0.0%")&amp;" yield on cost; "&amp;IF(ISNUMBER(AJ25),TEXT(AJ25,"0.0%")&amp;" cash-on-cash after refi","all cash out at refi"),"")))</f>
        <v/>
      </c>
      <c r="H25" s="26" t="str">
        <f aca="false">IF(A25="","",IF(C25="Flip",IF(W25&lt;=FlipCeiling,"In $300k flip box","Over flip ceiling: needs to be exceptional"),IF(C25="Value-add hold","Value-add","")))</f>
        <v/>
      </c>
      <c r="I25" s="29" t="str">
        <f aca="false">IF(A25="","",TRIM(IF(AK25&gt;D25,"Wholesale assignment supports "&amp;TEXT(AK25,"$#,##0")&amp;". ","")&amp;IF(AND(ISNUMBER(AN25),N(AN25)&gt;D25),"Teardown/new units supports "&amp;TEXT(AN25,"$#,##0")&amp;".","")))</f>
        <v/>
      </c>
      <c r="J25" s="29" t="str">
        <f aca="false">IF(A25="","",TRIM(IF(Deals!F25="2nd","Plaintiff is 2nd: add senior mortgage to surviving liens. ",IF(Deals!F25&lt;&gt;"1st","Lien position unconfirmed. ",""))&amp;IF(N(Deals!M25)=0,"No ARV yet. ","")&amp;IF(N(Deals!G25)=0,"No building sf: rehab is allowance only. ","")&amp;IF(AND(N(Deals!S25)&gt;0,D25&gt;0,D25*(1-RTTPurchase)-SheriffCostsFromBid&lt;N(Deals!S25)),"City claims not fully paid at max bid; unpaid part is counted as cost. ","")&amp;IF(K25=1,"Occupancy assumed: +"&amp;TEXT(EjectMonths,"0")&amp;" mo and possession cost. ","")))</f>
        <v/>
      </c>
      <c r="K25" s="27" t="str">
        <f aca="false">IF(A25="","",IF(OR(Deals!Q25="Occupied",AND(Deals!Q25&lt;&gt;"Vacant",UnknownAsOccupied="Y")),1,0))</f>
        <v/>
      </c>
      <c r="L25" s="30" t="str">
        <f aca="false">IF(A25="","",IFERROR(INDEX(ScopeMonths,MATCH(Deals!O25,ScopeNames,0)),INDEX(ScopeMonths,3)))</f>
        <v/>
      </c>
      <c r="M25" s="30" t="str">
        <f aca="false">IF(A25="","",DeedMonths+K25*EjectMonths+L25+SellMonths)</f>
        <v/>
      </c>
      <c r="N25" s="30" t="str">
        <f aca="false">IF(A25="","",DeedMonths+K25*EjectMonths+L25+LeaseUpMonths)</f>
        <v/>
      </c>
      <c r="O25" s="31" t="str">
        <f aca="false">IF(A25="","",N(Deals!G25)*IFERROR(INDEX(ScopePSF,MATCH(Deals!O25,ScopeNames,0)),INDEX(ScopePSF,3))*(1+Contingency)+BlindAllowance+N(Deals!P25))</f>
        <v/>
      </c>
      <c r="P25" s="31" t="str">
        <f aca="false">IF(A25="","",IF(N(Deals!K25)&gt;0,Deals!K25,N(Deals!M25))*TaxRate/12+VacantInsMo+SecuringMo+UtilitiesMo+N(Deals!T25))</f>
        <v/>
      </c>
      <c r="Q25" s="31" t="str">
        <f aca="false">IF(A25="","",SheriffFees+PurchaseTitle+CompelDeedLegal+K25*PossessionCost+N(Deals!R25)+N(Deals!T25)*HOAArrearsMonths)</f>
        <v/>
      </c>
      <c r="R25" s="31" t="str">
        <f aca="false">IF(A25="","",N(Deals!M25)*(BrokerPct+SellerRTT+SellClosingPct+ConcessionsPct))</f>
        <v/>
      </c>
      <c r="S25" s="31" t="str">
        <f aca="false">IF(A25="","",Q25+O25+P25*M25)</f>
        <v/>
      </c>
      <c r="T25" s="31" t="str">
        <f aca="false">IF(A25="","",N(Deals!M25)-R25-S25)</f>
        <v/>
      </c>
      <c r="U25" s="31" t="str">
        <f aca="false">IF(A25="","",MIN(T25-FlipTarget,(T25-FlipMinAnnROI*M25/12*S25)/(1+FlipMinAnnROI*M25/12)))</f>
        <v/>
      </c>
      <c r="V25" s="31" t="str">
        <f aca="false">IF(A25="","",IF(N(Deals!S25)=0,MAX(0,(U25)/(1+BuyerPremium)),IF((U25)&gt;=(N(Deals!S25)+SheriffCostsFromBid)/(1-RTTPurchase)*(1+BuyerPremium),(U25)/(1+BuyerPremium),MAX(0,((U25)-N(Deals!S25)-SheriffCostsFromBid)/(BuyerPremium+RTTPurchase)))))</f>
        <v/>
      </c>
      <c r="W25" s="31" t="str">
        <f aca="false">IF(A25="","",((V25)*(1+BuyerPremium)+IF(N(Deals!S25)=0,0,MIN(N(Deals!S25),MAX(0,N(Deals!S25)+SheriffCostsFromBid-(V25)*(1-RTTPurchase)))))+S25)</f>
        <v/>
      </c>
      <c r="X25" s="31" t="str">
        <f aca="false">IF(A25="","",T25-((V25)*(1+BuyerPremium)+IF(N(Deals!S25)=0,0,MIN(N(Deals!S25),MAX(0,N(Deals!S25)+SheriffCostsFromBid-(V25)*(1-RTTPurchase))))))</f>
        <v/>
      </c>
      <c r="Y25" s="32" t="str">
        <f aca="false">IF(A25="","",IFERROR(X25/W25/(M25/12),0))</f>
        <v/>
      </c>
      <c r="Z25" s="31" t="str">
        <f aca="false">IF(A25="","",N(Deals!N25)*12*(1-Vacancy)*(1-MgmtPct-MaintPct-CapexPct)-N(Deals!M25)*TaxRate-MAX(1,N(Deals!J25))*(InsPerUnit+WaterPerUnit)-N(Deals!T25)*12)</f>
        <v/>
      </c>
      <c r="AA25" s="31" t="str">
        <f aca="false">IF(A25="","",Q25+O25+P25*N25)</f>
        <v/>
      </c>
      <c r="AB25" s="31" t="str">
        <f aca="false">IF(A25="","",MAX(0,MIN(RefiLTV*N(Deals!M25),Z25/(RefiDSCR*12*PMT(RefiRate/12,RefiTerm*12,-1)))))</f>
        <v/>
      </c>
      <c r="AC25" s="31" t="str">
        <f aca="false">IF(A25="","",Z25-AB25*12*PMT(RefiRate/12,RefiTerm*12,-1))</f>
        <v/>
      </c>
      <c r="AD25" s="31" t="str">
        <f aca="false">IF(A25="","",IF(N(Deals!S25)=0,MAX(0,(Z25/HoldTarget-AA25)/(1+BuyerPremium)),IF((Z25/HoldTarget-AA25)&gt;=(N(Deals!S25)+SheriffCostsFromBid)/(1-RTTPurchase)*(1+BuyerPremium),(Z25/HoldTarget-AA25)/(1+BuyerPremium),MAX(0,((Z25/HoldTarget-AA25)-N(Deals!S25)-SheriffCostsFromBid)/(BuyerPremium+RTTPurchase)))))</f>
        <v/>
      </c>
      <c r="AE25" s="31" t="str">
        <f aca="false">IF(A25="","",IF(AC25&lt;=0,0,IF(N(Deals!S25)=0,MAX(0,(AC25/HoldTarget+AB25*(1-RefiCostPct)-AA25)/(1+BuyerPremium)),IF((AC25/HoldTarget+AB25*(1-RefiCostPct)-AA25)&gt;=(N(Deals!S25)+SheriffCostsFromBid)/(1-RTTPurchase)*(1+BuyerPremium),(AC25/HoldTarget+AB25*(1-RefiCostPct)-AA25)/(1+BuyerPremium),MAX(0,((AC25/HoldTarget+AB25*(1-RefiCostPct)-AA25)-N(Deals!S25)-SheriffCostsFromBid)/(BuyerPremium+RTTPurchase))))))</f>
        <v/>
      </c>
      <c r="AF25" s="31" t="str">
        <f aca="false">IF(A25="","",IF(HoldMeasure="Cash-on-cash",AE25,AD25))</f>
        <v/>
      </c>
      <c r="AG25" s="31" t="str">
        <f aca="false">IF(A25="","",((AF25)*(1+BuyerPremium)+IF(N(Deals!S25)=0,0,MIN(N(Deals!S25),MAX(0,N(Deals!S25)+SheriffCostsFromBid-(AF25)*(1-RTTPurchase)))))+AA25)</f>
        <v/>
      </c>
      <c r="AH25" s="32" t="str">
        <f aca="false">IF(A25="","",IFERROR(Z25/AG25,0))</f>
        <v/>
      </c>
      <c r="AI25" s="31" t="str">
        <f aca="false">IF(A25="","",AG25-AB25*(1-RefiCostPct))</f>
        <v/>
      </c>
      <c r="AJ25" s="32" t="str">
        <f aca="false">IF(A25="","",IF(AI25&lt;=0,"All cash out",AC25/AI25))</f>
        <v/>
      </c>
      <c r="AK25" s="31" t="str">
        <f aca="false">IF(A25="","",IF(N(Deals!S25)=0,MAX(0,(T25-BuyerMarginPct*N(Deals!M25)-WholesaleMinFee)/(1+BuyerPremium)),IF((T25-BuyerMarginPct*N(Deals!M25)-WholesaleMinFee)&gt;=(N(Deals!S25)+SheriffCostsFromBid)/(1-RTTPurchase)*(1+BuyerPremium),(T25-BuyerMarginPct*N(Deals!M25)-WholesaleMinFee)/(1+BuyerPremium),MAX(0,((T25-BuyerMarginPct*N(Deals!M25)-WholesaleMinFee)-N(Deals!S25)-SheriffCostsFromBid)/(BuyerPremium+RTTPurchase)))))</f>
        <v/>
      </c>
      <c r="AL25" s="31" t="str">
        <f aca="false">IF(OR(A25="",N(Deals!U25)=0),"",Deals!U25*N(Deals!W25))</f>
        <v/>
      </c>
      <c r="AM25" s="31" t="str">
        <f aca="false">IF(AL25="","",DemoCost+N(Deals!V25)*BuildCostPSF*(1+SoftCostPct)+P25*(DeedMonths+K25*EjectMonths+BuildMonths+SellMonths)+Q25+AL25*(BrokerPct+SellerRTT+SellClosingPct+ConcessionsPct))</f>
        <v/>
      </c>
      <c r="AN25" s="31" t="str">
        <f aca="false">IF(AL25="","",IF(N(Deals!S25)=0,MAX(0,(AL25-AM25-MAX(FlipTarget,DevMarginPct*AL25))/(1+BuyerPremium)),IF((AL25-AM25-MAX(FlipTarget,DevMarginPct*AL25))&gt;=(N(Deals!S25)+SheriffCostsFromBid)/(1-RTTPurchase)*(1+BuyerPremium),(AL25-AM25-MAX(FlipTarget,DevMarginPct*AL25))/(1+BuyerPremium),MAX(0,((AL25-AM25-MAX(FlipTarget,DevMarginPct*AL25))-N(Deals!S25)-SheriffCostsFromBid)/(BuyerPremium+RTTPurchase)))))</f>
        <v/>
      </c>
    </row>
    <row r="26" customFormat="false" ht="15" hidden="false" customHeight="true" outlineLevel="0" collapsed="false">
      <c r="A26" s="27" t="str">
        <f aca="false">IF(Deals!A26="","",Deals!A26)</f>
        <v/>
      </c>
      <c r="B26" s="1" t="str">
        <f aca="false">IF(A26="","",Deals!B26)</f>
        <v/>
      </c>
      <c r="C26" s="26" t="str">
        <f aca="false">IF(A26="","",IF(MAX(V26,AF26)&lt;=0,"Pass",IF(V26&gt;=AF26,"Flip","Value-add hold")))</f>
        <v/>
      </c>
      <c r="D26" s="28" t="str">
        <f aca="false">IF(A26="","",MAX(V26,AF26))</f>
        <v/>
      </c>
      <c r="E26" s="29" t="str">
        <f aca="false">IF(A26="","",IF(D26&lt;=0,"Pass",IF(N(Deals!D26)&lt;=1,"$1 = awaiting minimum bid; re-check the morning of Nov 3",IF(D26&lt;Deals!D26,"Max bid below opening bid: pass","Room of "&amp;TEXT(D26-Deals!D26,"$#,##0")&amp;" over opening bid"))))</f>
        <v/>
      </c>
      <c r="F26" s="28" t="str">
        <f aca="false">IF(A26="","",IF(C26="Flip",W26,IF(C26="Value-add hold",AG26,0)))</f>
        <v/>
      </c>
      <c r="G26" s="29" t="str">
        <f aca="false">IF(A26="","",IF(C26="Flip",TEXT(X26,"$#,##0")&amp;" profit, "&amp;TEXT(Y26,"0%")&amp;"/yr over "&amp;TEXT(M26,"0")&amp;" mo",IF(C26="Value-add hold",TEXT(AH26,"0.0%")&amp;" yield on cost; "&amp;IF(ISNUMBER(AJ26),TEXT(AJ26,"0.0%")&amp;" cash-on-cash after refi","all cash out at refi"),"")))</f>
        <v/>
      </c>
      <c r="H26" s="26" t="str">
        <f aca="false">IF(A26="","",IF(C26="Flip",IF(W26&lt;=FlipCeiling,"In $300k flip box","Over flip ceiling: needs to be exceptional"),IF(C26="Value-add hold","Value-add","")))</f>
        <v/>
      </c>
      <c r="I26" s="29" t="str">
        <f aca="false">IF(A26="","",TRIM(IF(AK26&gt;D26,"Wholesale assignment supports "&amp;TEXT(AK26,"$#,##0")&amp;". ","")&amp;IF(AND(ISNUMBER(AN26),N(AN26)&gt;D26),"Teardown/new units supports "&amp;TEXT(AN26,"$#,##0")&amp;".","")))</f>
        <v/>
      </c>
      <c r="J26" s="29" t="str">
        <f aca="false">IF(A26="","",TRIM(IF(Deals!F26="2nd","Plaintiff is 2nd: add senior mortgage to surviving liens. ",IF(Deals!F26&lt;&gt;"1st","Lien position unconfirmed. ",""))&amp;IF(N(Deals!M26)=0,"No ARV yet. ","")&amp;IF(N(Deals!G26)=0,"No building sf: rehab is allowance only. ","")&amp;IF(AND(N(Deals!S26)&gt;0,D26&gt;0,D26*(1-RTTPurchase)-SheriffCostsFromBid&lt;N(Deals!S26)),"City claims not fully paid at max bid; unpaid part is counted as cost. ","")&amp;IF(K26=1,"Occupancy assumed: +"&amp;TEXT(EjectMonths,"0")&amp;" mo and possession cost. ","")))</f>
        <v/>
      </c>
      <c r="K26" s="27" t="str">
        <f aca="false">IF(A26="","",IF(OR(Deals!Q26="Occupied",AND(Deals!Q26&lt;&gt;"Vacant",UnknownAsOccupied="Y")),1,0))</f>
        <v/>
      </c>
      <c r="L26" s="30" t="str">
        <f aca="false">IF(A26="","",IFERROR(INDEX(ScopeMonths,MATCH(Deals!O26,ScopeNames,0)),INDEX(ScopeMonths,3)))</f>
        <v/>
      </c>
      <c r="M26" s="30" t="str">
        <f aca="false">IF(A26="","",DeedMonths+K26*EjectMonths+L26+SellMonths)</f>
        <v/>
      </c>
      <c r="N26" s="30" t="str">
        <f aca="false">IF(A26="","",DeedMonths+K26*EjectMonths+L26+LeaseUpMonths)</f>
        <v/>
      </c>
      <c r="O26" s="31" t="str">
        <f aca="false">IF(A26="","",N(Deals!G26)*IFERROR(INDEX(ScopePSF,MATCH(Deals!O26,ScopeNames,0)),INDEX(ScopePSF,3))*(1+Contingency)+BlindAllowance+N(Deals!P26))</f>
        <v/>
      </c>
      <c r="P26" s="31" t="str">
        <f aca="false">IF(A26="","",IF(N(Deals!K26)&gt;0,Deals!K26,N(Deals!M26))*TaxRate/12+VacantInsMo+SecuringMo+UtilitiesMo+N(Deals!T26))</f>
        <v/>
      </c>
      <c r="Q26" s="31" t="str">
        <f aca="false">IF(A26="","",SheriffFees+PurchaseTitle+CompelDeedLegal+K26*PossessionCost+N(Deals!R26)+N(Deals!T26)*HOAArrearsMonths)</f>
        <v/>
      </c>
      <c r="R26" s="31" t="str">
        <f aca="false">IF(A26="","",N(Deals!M26)*(BrokerPct+SellerRTT+SellClosingPct+ConcessionsPct))</f>
        <v/>
      </c>
      <c r="S26" s="31" t="str">
        <f aca="false">IF(A26="","",Q26+O26+P26*M26)</f>
        <v/>
      </c>
      <c r="T26" s="31" t="str">
        <f aca="false">IF(A26="","",N(Deals!M26)-R26-S26)</f>
        <v/>
      </c>
      <c r="U26" s="31" t="str">
        <f aca="false">IF(A26="","",MIN(T26-FlipTarget,(T26-FlipMinAnnROI*M26/12*S26)/(1+FlipMinAnnROI*M26/12)))</f>
        <v/>
      </c>
      <c r="V26" s="31" t="str">
        <f aca="false">IF(A26="","",IF(N(Deals!S26)=0,MAX(0,(U26)/(1+BuyerPremium)),IF((U26)&gt;=(N(Deals!S26)+SheriffCostsFromBid)/(1-RTTPurchase)*(1+BuyerPremium),(U26)/(1+BuyerPremium),MAX(0,((U26)-N(Deals!S26)-SheriffCostsFromBid)/(BuyerPremium+RTTPurchase)))))</f>
        <v/>
      </c>
      <c r="W26" s="31" t="str">
        <f aca="false">IF(A26="","",((V26)*(1+BuyerPremium)+IF(N(Deals!S26)=0,0,MIN(N(Deals!S26),MAX(0,N(Deals!S26)+SheriffCostsFromBid-(V26)*(1-RTTPurchase)))))+S26)</f>
        <v/>
      </c>
      <c r="X26" s="31" t="str">
        <f aca="false">IF(A26="","",T26-((V26)*(1+BuyerPremium)+IF(N(Deals!S26)=0,0,MIN(N(Deals!S26),MAX(0,N(Deals!S26)+SheriffCostsFromBid-(V26)*(1-RTTPurchase))))))</f>
        <v/>
      </c>
      <c r="Y26" s="32" t="str">
        <f aca="false">IF(A26="","",IFERROR(X26/W26/(M26/12),0))</f>
        <v/>
      </c>
      <c r="Z26" s="31" t="str">
        <f aca="false">IF(A26="","",N(Deals!N26)*12*(1-Vacancy)*(1-MgmtPct-MaintPct-CapexPct)-N(Deals!M26)*TaxRate-MAX(1,N(Deals!J26))*(InsPerUnit+WaterPerUnit)-N(Deals!T26)*12)</f>
        <v/>
      </c>
      <c r="AA26" s="31" t="str">
        <f aca="false">IF(A26="","",Q26+O26+P26*N26)</f>
        <v/>
      </c>
      <c r="AB26" s="31" t="str">
        <f aca="false">IF(A26="","",MAX(0,MIN(RefiLTV*N(Deals!M26),Z26/(RefiDSCR*12*PMT(RefiRate/12,RefiTerm*12,-1)))))</f>
        <v/>
      </c>
      <c r="AC26" s="31" t="str">
        <f aca="false">IF(A26="","",Z26-AB26*12*PMT(RefiRate/12,RefiTerm*12,-1))</f>
        <v/>
      </c>
      <c r="AD26" s="31" t="str">
        <f aca="false">IF(A26="","",IF(N(Deals!S26)=0,MAX(0,(Z26/HoldTarget-AA26)/(1+BuyerPremium)),IF((Z26/HoldTarget-AA26)&gt;=(N(Deals!S26)+SheriffCostsFromBid)/(1-RTTPurchase)*(1+BuyerPremium),(Z26/HoldTarget-AA26)/(1+BuyerPremium),MAX(0,((Z26/HoldTarget-AA26)-N(Deals!S26)-SheriffCostsFromBid)/(BuyerPremium+RTTPurchase)))))</f>
        <v/>
      </c>
      <c r="AE26" s="31" t="str">
        <f aca="false">IF(A26="","",IF(AC26&lt;=0,0,IF(N(Deals!S26)=0,MAX(0,(AC26/HoldTarget+AB26*(1-RefiCostPct)-AA26)/(1+BuyerPremium)),IF((AC26/HoldTarget+AB26*(1-RefiCostPct)-AA26)&gt;=(N(Deals!S26)+SheriffCostsFromBid)/(1-RTTPurchase)*(1+BuyerPremium),(AC26/HoldTarget+AB26*(1-RefiCostPct)-AA26)/(1+BuyerPremium),MAX(0,((AC26/HoldTarget+AB26*(1-RefiCostPct)-AA26)-N(Deals!S26)-SheriffCostsFromBid)/(BuyerPremium+RTTPurchase))))))</f>
        <v/>
      </c>
      <c r="AF26" s="31" t="str">
        <f aca="false">IF(A26="","",IF(HoldMeasure="Cash-on-cash",AE26,AD26))</f>
        <v/>
      </c>
      <c r="AG26" s="31" t="str">
        <f aca="false">IF(A26="","",((AF26)*(1+BuyerPremium)+IF(N(Deals!S26)=0,0,MIN(N(Deals!S26),MAX(0,N(Deals!S26)+SheriffCostsFromBid-(AF26)*(1-RTTPurchase)))))+AA26)</f>
        <v/>
      </c>
      <c r="AH26" s="32" t="str">
        <f aca="false">IF(A26="","",IFERROR(Z26/AG26,0))</f>
        <v/>
      </c>
      <c r="AI26" s="31" t="str">
        <f aca="false">IF(A26="","",AG26-AB26*(1-RefiCostPct))</f>
        <v/>
      </c>
      <c r="AJ26" s="32" t="str">
        <f aca="false">IF(A26="","",IF(AI26&lt;=0,"All cash out",AC26/AI26))</f>
        <v/>
      </c>
      <c r="AK26" s="31" t="str">
        <f aca="false">IF(A26="","",IF(N(Deals!S26)=0,MAX(0,(T26-BuyerMarginPct*N(Deals!M26)-WholesaleMinFee)/(1+BuyerPremium)),IF((T26-BuyerMarginPct*N(Deals!M26)-WholesaleMinFee)&gt;=(N(Deals!S26)+SheriffCostsFromBid)/(1-RTTPurchase)*(1+BuyerPremium),(T26-BuyerMarginPct*N(Deals!M26)-WholesaleMinFee)/(1+BuyerPremium),MAX(0,((T26-BuyerMarginPct*N(Deals!M26)-WholesaleMinFee)-N(Deals!S26)-SheriffCostsFromBid)/(BuyerPremium+RTTPurchase)))))</f>
        <v/>
      </c>
      <c r="AL26" s="31" t="str">
        <f aca="false">IF(OR(A26="",N(Deals!U26)=0),"",Deals!U26*N(Deals!W26))</f>
        <v/>
      </c>
      <c r="AM26" s="31" t="str">
        <f aca="false">IF(AL26="","",DemoCost+N(Deals!V26)*BuildCostPSF*(1+SoftCostPct)+P26*(DeedMonths+K26*EjectMonths+BuildMonths+SellMonths)+Q26+AL26*(BrokerPct+SellerRTT+SellClosingPct+ConcessionsPct))</f>
        <v/>
      </c>
      <c r="AN26" s="31" t="str">
        <f aca="false">IF(AL26="","",IF(N(Deals!S26)=0,MAX(0,(AL26-AM26-MAX(FlipTarget,DevMarginPct*AL26))/(1+BuyerPremium)),IF((AL26-AM26-MAX(FlipTarget,DevMarginPct*AL26))&gt;=(N(Deals!S26)+SheriffCostsFromBid)/(1-RTTPurchase)*(1+BuyerPremium),(AL26-AM26-MAX(FlipTarget,DevMarginPct*AL26))/(1+BuyerPremium),MAX(0,((AL26-AM26-MAX(FlipTarget,DevMarginPct*AL26))-N(Deals!S26)-SheriffCostsFromBid)/(BuyerPremium+RTTPurchase)))))</f>
        <v/>
      </c>
    </row>
    <row r="27" customFormat="false" ht="15" hidden="false" customHeight="true" outlineLevel="0" collapsed="false">
      <c r="A27" s="27" t="str">
        <f aca="false">IF(Deals!A27="","",Deals!A27)</f>
        <v/>
      </c>
      <c r="B27" s="1" t="str">
        <f aca="false">IF(A27="","",Deals!B27)</f>
        <v/>
      </c>
      <c r="C27" s="26" t="str">
        <f aca="false">IF(A27="","",IF(MAX(V27,AF27)&lt;=0,"Pass",IF(V27&gt;=AF27,"Flip","Value-add hold")))</f>
        <v/>
      </c>
      <c r="D27" s="28" t="str">
        <f aca="false">IF(A27="","",MAX(V27,AF27))</f>
        <v/>
      </c>
      <c r="E27" s="29" t="str">
        <f aca="false">IF(A27="","",IF(D27&lt;=0,"Pass",IF(N(Deals!D27)&lt;=1,"$1 = awaiting minimum bid; re-check the morning of Nov 3",IF(D27&lt;Deals!D27,"Max bid below opening bid: pass","Room of "&amp;TEXT(D27-Deals!D27,"$#,##0")&amp;" over opening bid"))))</f>
        <v/>
      </c>
      <c r="F27" s="28" t="str">
        <f aca="false">IF(A27="","",IF(C27="Flip",W27,IF(C27="Value-add hold",AG27,0)))</f>
        <v/>
      </c>
      <c r="G27" s="29" t="str">
        <f aca="false">IF(A27="","",IF(C27="Flip",TEXT(X27,"$#,##0")&amp;" profit, "&amp;TEXT(Y27,"0%")&amp;"/yr over "&amp;TEXT(M27,"0")&amp;" mo",IF(C27="Value-add hold",TEXT(AH27,"0.0%")&amp;" yield on cost; "&amp;IF(ISNUMBER(AJ27),TEXT(AJ27,"0.0%")&amp;" cash-on-cash after refi","all cash out at refi"),"")))</f>
        <v/>
      </c>
      <c r="H27" s="26" t="str">
        <f aca="false">IF(A27="","",IF(C27="Flip",IF(W27&lt;=FlipCeiling,"In $300k flip box","Over flip ceiling: needs to be exceptional"),IF(C27="Value-add hold","Value-add","")))</f>
        <v/>
      </c>
      <c r="I27" s="29" t="str">
        <f aca="false">IF(A27="","",TRIM(IF(AK27&gt;D27,"Wholesale assignment supports "&amp;TEXT(AK27,"$#,##0")&amp;". ","")&amp;IF(AND(ISNUMBER(AN27),N(AN27)&gt;D27),"Teardown/new units supports "&amp;TEXT(AN27,"$#,##0")&amp;".","")))</f>
        <v/>
      </c>
      <c r="J27" s="29" t="str">
        <f aca="false">IF(A27="","",TRIM(IF(Deals!F27="2nd","Plaintiff is 2nd: add senior mortgage to surviving liens. ",IF(Deals!F27&lt;&gt;"1st","Lien position unconfirmed. ",""))&amp;IF(N(Deals!M27)=0,"No ARV yet. ","")&amp;IF(N(Deals!G27)=0,"No building sf: rehab is allowance only. ","")&amp;IF(AND(N(Deals!S27)&gt;0,D27&gt;0,D27*(1-RTTPurchase)-SheriffCostsFromBid&lt;N(Deals!S27)),"City claims not fully paid at max bid; unpaid part is counted as cost. ","")&amp;IF(K27=1,"Occupancy assumed: +"&amp;TEXT(EjectMonths,"0")&amp;" mo and possession cost. ","")))</f>
        <v/>
      </c>
      <c r="K27" s="27" t="str">
        <f aca="false">IF(A27="","",IF(OR(Deals!Q27="Occupied",AND(Deals!Q27&lt;&gt;"Vacant",UnknownAsOccupied="Y")),1,0))</f>
        <v/>
      </c>
      <c r="L27" s="30" t="str">
        <f aca="false">IF(A27="","",IFERROR(INDEX(ScopeMonths,MATCH(Deals!O27,ScopeNames,0)),INDEX(ScopeMonths,3)))</f>
        <v/>
      </c>
      <c r="M27" s="30" t="str">
        <f aca="false">IF(A27="","",DeedMonths+K27*EjectMonths+L27+SellMonths)</f>
        <v/>
      </c>
      <c r="N27" s="30" t="str">
        <f aca="false">IF(A27="","",DeedMonths+K27*EjectMonths+L27+LeaseUpMonths)</f>
        <v/>
      </c>
      <c r="O27" s="31" t="str">
        <f aca="false">IF(A27="","",N(Deals!G27)*IFERROR(INDEX(ScopePSF,MATCH(Deals!O27,ScopeNames,0)),INDEX(ScopePSF,3))*(1+Contingency)+BlindAllowance+N(Deals!P27))</f>
        <v/>
      </c>
      <c r="P27" s="31" t="str">
        <f aca="false">IF(A27="","",IF(N(Deals!K27)&gt;0,Deals!K27,N(Deals!M27))*TaxRate/12+VacantInsMo+SecuringMo+UtilitiesMo+N(Deals!T27))</f>
        <v/>
      </c>
      <c r="Q27" s="31" t="str">
        <f aca="false">IF(A27="","",SheriffFees+PurchaseTitle+CompelDeedLegal+K27*PossessionCost+N(Deals!R27)+N(Deals!T27)*HOAArrearsMonths)</f>
        <v/>
      </c>
      <c r="R27" s="31" t="str">
        <f aca="false">IF(A27="","",N(Deals!M27)*(BrokerPct+SellerRTT+SellClosingPct+ConcessionsPct))</f>
        <v/>
      </c>
      <c r="S27" s="31" t="str">
        <f aca="false">IF(A27="","",Q27+O27+P27*M27)</f>
        <v/>
      </c>
      <c r="T27" s="31" t="str">
        <f aca="false">IF(A27="","",N(Deals!M27)-R27-S27)</f>
        <v/>
      </c>
      <c r="U27" s="31" t="str">
        <f aca="false">IF(A27="","",MIN(T27-FlipTarget,(T27-FlipMinAnnROI*M27/12*S27)/(1+FlipMinAnnROI*M27/12)))</f>
        <v/>
      </c>
      <c r="V27" s="31" t="str">
        <f aca="false">IF(A27="","",IF(N(Deals!S27)=0,MAX(0,(U27)/(1+BuyerPremium)),IF((U27)&gt;=(N(Deals!S27)+SheriffCostsFromBid)/(1-RTTPurchase)*(1+BuyerPremium),(U27)/(1+BuyerPremium),MAX(0,((U27)-N(Deals!S27)-SheriffCostsFromBid)/(BuyerPremium+RTTPurchase)))))</f>
        <v/>
      </c>
      <c r="W27" s="31" t="str">
        <f aca="false">IF(A27="","",((V27)*(1+BuyerPremium)+IF(N(Deals!S27)=0,0,MIN(N(Deals!S27),MAX(0,N(Deals!S27)+SheriffCostsFromBid-(V27)*(1-RTTPurchase)))))+S27)</f>
        <v/>
      </c>
      <c r="X27" s="31" t="str">
        <f aca="false">IF(A27="","",T27-((V27)*(1+BuyerPremium)+IF(N(Deals!S27)=0,0,MIN(N(Deals!S27),MAX(0,N(Deals!S27)+SheriffCostsFromBid-(V27)*(1-RTTPurchase))))))</f>
        <v/>
      </c>
      <c r="Y27" s="32" t="str">
        <f aca="false">IF(A27="","",IFERROR(X27/W27/(M27/12),0))</f>
        <v/>
      </c>
      <c r="Z27" s="31" t="str">
        <f aca="false">IF(A27="","",N(Deals!N27)*12*(1-Vacancy)*(1-MgmtPct-MaintPct-CapexPct)-N(Deals!M27)*TaxRate-MAX(1,N(Deals!J27))*(InsPerUnit+WaterPerUnit)-N(Deals!T27)*12)</f>
        <v/>
      </c>
      <c r="AA27" s="31" t="str">
        <f aca="false">IF(A27="","",Q27+O27+P27*N27)</f>
        <v/>
      </c>
      <c r="AB27" s="31" t="str">
        <f aca="false">IF(A27="","",MAX(0,MIN(RefiLTV*N(Deals!M27),Z27/(RefiDSCR*12*PMT(RefiRate/12,RefiTerm*12,-1)))))</f>
        <v/>
      </c>
      <c r="AC27" s="31" t="str">
        <f aca="false">IF(A27="","",Z27-AB27*12*PMT(RefiRate/12,RefiTerm*12,-1))</f>
        <v/>
      </c>
      <c r="AD27" s="31" t="str">
        <f aca="false">IF(A27="","",IF(N(Deals!S27)=0,MAX(0,(Z27/HoldTarget-AA27)/(1+BuyerPremium)),IF((Z27/HoldTarget-AA27)&gt;=(N(Deals!S27)+SheriffCostsFromBid)/(1-RTTPurchase)*(1+BuyerPremium),(Z27/HoldTarget-AA27)/(1+BuyerPremium),MAX(0,((Z27/HoldTarget-AA27)-N(Deals!S27)-SheriffCostsFromBid)/(BuyerPremium+RTTPurchase)))))</f>
        <v/>
      </c>
      <c r="AE27" s="31" t="str">
        <f aca="false">IF(A27="","",IF(AC27&lt;=0,0,IF(N(Deals!S27)=0,MAX(0,(AC27/HoldTarget+AB27*(1-RefiCostPct)-AA27)/(1+BuyerPremium)),IF((AC27/HoldTarget+AB27*(1-RefiCostPct)-AA27)&gt;=(N(Deals!S27)+SheriffCostsFromBid)/(1-RTTPurchase)*(1+BuyerPremium),(AC27/HoldTarget+AB27*(1-RefiCostPct)-AA27)/(1+BuyerPremium),MAX(0,((AC27/HoldTarget+AB27*(1-RefiCostPct)-AA27)-N(Deals!S27)-SheriffCostsFromBid)/(BuyerPremium+RTTPurchase))))))</f>
        <v/>
      </c>
      <c r="AF27" s="31" t="str">
        <f aca="false">IF(A27="","",IF(HoldMeasure="Cash-on-cash",AE27,AD27))</f>
        <v/>
      </c>
      <c r="AG27" s="31" t="str">
        <f aca="false">IF(A27="","",((AF27)*(1+BuyerPremium)+IF(N(Deals!S27)=0,0,MIN(N(Deals!S27),MAX(0,N(Deals!S27)+SheriffCostsFromBid-(AF27)*(1-RTTPurchase)))))+AA27)</f>
        <v/>
      </c>
      <c r="AH27" s="32" t="str">
        <f aca="false">IF(A27="","",IFERROR(Z27/AG27,0))</f>
        <v/>
      </c>
      <c r="AI27" s="31" t="str">
        <f aca="false">IF(A27="","",AG27-AB27*(1-RefiCostPct))</f>
        <v/>
      </c>
      <c r="AJ27" s="32" t="str">
        <f aca="false">IF(A27="","",IF(AI27&lt;=0,"All cash out",AC27/AI27))</f>
        <v/>
      </c>
      <c r="AK27" s="31" t="str">
        <f aca="false">IF(A27="","",IF(N(Deals!S27)=0,MAX(0,(T27-BuyerMarginPct*N(Deals!M27)-WholesaleMinFee)/(1+BuyerPremium)),IF((T27-BuyerMarginPct*N(Deals!M27)-WholesaleMinFee)&gt;=(N(Deals!S27)+SheriffCostsFromBid)/(1-RTTPurchase)*(1+BuyerPremium),(T27-BuyerMarginPct*N(Deals!M27)-WholesaleMinFee)/(1+BuyerPremium),MAX(0,((T27-BuyerMarginPct*N(Deals!M27)-WholesaleMinFee)-N(Deals!S27)-SheriffCostsFromBid)/(BuyerPremium+RTTPurchase)))))</f>
        <v/>
      </c>
      <c r="AL27" s="31" t="str">
        <f aca="false">IF(OR(A27="",N(Deals!U27)=0),"",Deals!U27*N(Deals!W27))</f>
        <v/>
      </c>
      <c r="AM27" s="31" t="str">
        <f aca="false">IF(AL27="","",DemoCost+N(Deals!V27)*BuildCostPSF*(1+SoftCostPct)+P27*(DeedMonths+K27*EjectMonths+BuildMonths+SellMonths)+Q27+AL27*(BrokerPct+SellerRTT+SellClosingPct+ConcessionsPct))</f>
        <v/>
      </c>
      <c r="AN27" s="31" t="str">
        <f aca="false">IF(AL27="","",IF(N(Deals!S27)=0,MAX(0,(AL27-AM27-MAX(FlipTarget,DevMarginPct*AL27))/(1+BuyerPremium)),IF((AL27-AM27-MAX(FlipTarget,DevMarginPct*AL27))&gt;=(N(Deals!S27)+SheriffCostsFromBid)/(1-RTTPurchase)*(1+BuyerPremium),(AL27-AM27-MAX(FlipTarget,DevMarginPct*AL27))/(1+BuyerPremium),MAX(0,((AL27-AM27-MAX(FlipTarget,DevMarginPct*AL27))-N(Deals!S27)-SheriffCostsFromBid)/(BuyerPremium+RTTPurchase)))))</f>
        <v/>
      </c>
    </row>
    <row r="28" customFormat="false" ht="15" hidden="false" customHeight="true" outlineLevel="0" collapsed="false">
      <c r="A28" s="27" t="str">
        <f aca="false">IF(Deals!A28="","",Deals!A28)</f>
        <v/>
      </c>
      <c r="B28" s="1" t="str">
        <f aca="false">IF(A28="","",Deals!B28)</f>
        <v/>
      </c>
      <c r="C28" s="26" t="str">
        <f aca="false">IF(A28="","",IF(MAX(V28,AF28)&lt;=0,"Pass",IF(V28&gt;=AF28,"Flip","Value-add hold")))</f>
        <v/>
      </c>
      <c r="D28" s="28" t="str">
        <f aca="false">IF(A28="","",MAX(V28,AF28))</f>
        <v/>
      </c>
      <c r="E28" s="29" t="str">
        <f aca="false">IF(A28="","",IF(D28&lt;=0,"Pass",IF(N(Deals!D28)&lt;=1,"$1 = awaiting minimum bid; re-check the morning of Nov 3",IF(D28&lt;Deals!D28,"Max bid below opening bid: pass","Room of "&amp;TEXT(D28-Deals!D28,"$#,##0")&amp;" over opening bid"))))</f>
        <v/>
      </c>
      <c r="F28" s="28" t="str">
        <f aca="false">IF(A28="","",IF(C28="Flip",W28,IF(C28="Value-add hold",AG28,0)))</f>
        <v/>
      </c>
      <c r="G28" s="29" t="str">
        <f aca="false">IF(A28="","",IF(C28="Flip",TEXT(X28,"$#,##0")&amp;" profit, "&amp;TEXT(Y28,"0%")&amp;"/yr over "&amp;TEXT(M28,"0")&amp;" mo",IF(C28="Value-add hold",TEXT(AH28,"0.0%")&amp;" yield on cost; "&amp;IF(ISNUMBER(AJ28),TEXT(AJ28,"0.0%")&amp;" cash-on-cash after refi","all cash out at refi"),"")))</f>
        <v/>
      </c>
      <c r="H28" s="26" t="str">
        <f aca="false">IF(A28="","",IF(C28="Flip",IF(W28&lt;=FlipCeiling,"In $300k flip box","Over flip ceiling: needs to be exceptional"),IF(C28="Value-add hold","Value-add","")))</f>
        <v/>
      </c>
      <c r="I28" s="29" t="str">
        <f aca="false">IF(A28="","",TRIM(IF(AK28&gt;D28,"Wholesale assignment supports "&amp;TEXT(AK28,"$#,##0")&amp;". ","")&amp;IF(AND(ISNUMBER(AN28),N(AN28)&gt;D28),"Teardown/new units supports "&amp;TEXT(AN28,"$#,##0")&amp;".","")))</f>
        <v/>
      </c>
      <c r="J28" s="29" t="str">
        <f aca="false">IF(A28="","",TRIM(IF(Deals!F28="2nd","Plaintiff is 2nd: add senior mortgage to surviving liens. ",IF(Deals!F28&lt;&gt;"1st","Lien position unconfirmed. ",""))&amp;IF(N(Deals!M28)=0,"No ARV yet. ","")&amp;IF(N(Deals!G28)=0,"No building sf: rehab is allowance only. ","")&amp;IF(AND(N(Deals!S28)&gt;0,D28&gt;0,D28*(1-RTTPurchase)-SheriffCostsFromBid&lt;N(Deals!S28)),"City claims not fully paid at max bid; unpaid part is counted as cost. ","")&amp;IF(K28=1,"Occupancy assumed: +"&amp;TEXT(EjectMonths,"0")&amp;" mo and possession cost. ","")))</f>
        <v/>
      </c>
      <c r="K28" s="27" t="str">
        <f aca="false">IF(A28="","",IF(OR(Deals!Q28="Occupied",AND(Deals!Q28&lt;&gt;"Vacant",UnknownAsOccupied="Y")),1,0))</f>
        <v/>
      </c>
      <c r="L28" s="30" t="str">
        <f aca="false">IF(A28="","",IFERROR(INDEX(ScopeMonths,MATCH(Deals!O28,ScopeNames,0)),INDEX(ScopeMonths,3)))</f>
        <v/>
      </c>
      <c r="M28" s="30" t="str">
        <f aca="false">IF(A28="","",DeedMonths+K28*EjectMonths+L28+SellMonths)</f>
        <v/>
      </c>
      <c r="N28" s="30" t="str">
        <f aca="false">IF(A28="","",DeedMonths+K28*EjectMonths+L28+LeaseUpMonths)</f>
        <v/>
      </c>
      <c r="O28" s="31" t="str">
        <f aca="false">IF(A28="","",N(Deals!G28)*IFERROR(INDEX(ScopePSF,MATCH(Deals!O28,ScopeNames,0)),INDEX(ScopePSF,3))*(1+Contingency)+BlindAllowance+N(Deals!P28))</f>
        <v/>
      </c>
      <c r="P28" s="31" t="str">
        <f aca="false">IF(A28="","",IF(N(Deals!K28)&gt;0,Deals!K28,N(Deals!M28))*TaxRate/12+VacantInsMo+SecuringMo+UtilitiesMo+N(Deals!T28))</f>
        <v/>
      </c>
      <c r="Q28" s="31" t="str">
        <f aca="false">IF(A28="","",SheriffFees+PurchaseTitle+CompelDeedLegal+K28*PossessionCost+N(Deals!R28)+N(Deals!T28)*HOAArrearsMonths)</f>
        <v/>
      </c>
      <c r="R28" s="31" t="str">
        <f aca="false">IF(A28="","",N(Deals!M28)*(BrokerPct+SellerRTT+SellClosingPct+ConcessionsPct))</f>
        <v/>
      </c>
      <c r="S28" s="31" t="str">
        <f aca="false">IF(A28="","",Q28+O28+P28*M28)</f>
        <v/>
      </c>
      <c r="T28" s="31" t="str">
        <f aca="false">IF(A28="","",N(Deals!M28)-R28-S28)</f>
        <v/>
      </c>
      <c r="U28" s="31" t="str">
        <f aca="false">IF(A28="","",MIN(T28-FlipTarget,(T28-FlipMinAnnROI*M28/12*S28)/(1+FlipMinAnnROI*M28/12)))</f>
        <v/>
      </c>
      <c r="V28" s="31" t="str">
        <f aca="false">IF(A28="","",IF(N(Deals!S28)=0,MAX(0,(U28)/(1+BuyerPremium)),IF((U28)&gt;=(N(Deals!S28)+SheriffCostsFromBid)/(1-RTTPurchase)*(1+BuyerPremium),(U28)/(1+BuyerPremium),MAX(0,((U28)-N(Deals!S28)-SheriffCostsFromBid)/(BuyerPremium+RTTPurchase)))))</f>
        <v/>
      </c>
      <c r="W28" s="31" t="str">
        <f aca="false">IF(A28="","",((V28)*(1+BuyerPremium)+IF(N(Deals!S28)=0,0,MIN(N(Deals!S28),MAX(0,N(Deals!S28)+SheriffCostsFromBid-(V28)*(1-RTTPurchase)))))+S28)</f>
        <v/>
      </c>
      <c r="X28" s="31" t="str">
        <f aca="false">IF(A28="","",T28-((V28)*(1+BuyerPremium)+IF(N(Deals!S28)=0,0,MIN(N(Deals!S28),MAX(0,N(Deals!S28)+SheriffCostsFromBid-(V28)*(1-RTTPurchase))))))</f>
        <v/>
      </c>
      <c r="Y28" s="32" t="str">
        <f aca="false">IF(A28="","",IFERROR(X28/W28/(M28/12),0))</f>
        <v/>
      </c>
      <c r="Z28" s="31" t="str">
        <f aca="false">IF(A28="","",N(Deals!N28)*12*(1-Vacancy)*(1-MgmtPct-MaintPct-CapexPct)-N(Deals!M28)*TaxRate-MAX(1,N(Deals!J28))*(InsPerUnit+WaterPerUnit)-N(Deals!T28)*12)</f>
        <v/>
      </c>
      <c r="AA28" s="31" t="str">
        <f aca="false">IF(A28="","",Q28+O28+P28*N28)</f>
        <v/>
      </c>
      <c r="AB28" s="31" t="str">
        <f aca="false">IF(A28="","",MAX(0,MIN(RefiLTV*N(Deals!M28),Z28/(RefiDSCR*12*PMT(RefiRate/12,RefiTerm*12,-1)))))</f>
        <v/>
      </c>
      <c r="AC28" s="31" t="str">
        <f aca="false">IF(A28="","",Z28-AB28*12*PMT(RefiRate/12,RefiTerm*12,-1))</f>
        <v/>
      </c>
      <c r="AD28" s="31" t="str">
        <f aca="false">IF(A28="","",IF(N(Deals!S28)=0,MAX(0,(Z28/HoldTarget-AA28)/(1+BuyerPremium)),IF((Z28/HoldTarget-AA28)&gt;=(N(Deals!S28)+SheriffCostsFromBid)/(1-RTTPurchase)*(1+BuyerPremium),(Z28/HoldTarget-AA28)/(1+BuyerPremium),MAX(0,((Z28/HoldTarget-AA28)-N(Deals!S28)-SheriffCostsFromBid)/(BuyerPremium+RTTPurchase)))))</f>
        <v/>
      </c>
      <c r="AE28" s="31" t="str">
        <f aca="false">IF(A28="","",IF(AC28&lt;=0,0,IF(N(Deals!S28)=0,MAX(0,(AC28/HoldTarget+AB28*(1-RefiCostPct)-AA28)/(1+BuyerPremium)),IF((AC28/HoldTarget+AB28*(1-RefiCostPct)-AA28)&gt;=(N(Deals!S28)+SheriffCostsFromBid)/(1-RTTPurchase)*(1+BuyerPremium),(AC28/HoldTarget+AB28*(1-RefiCostPct)-AA28)/(1+BuyerPremium),MAX(0,((AC28/HoldTarget+AB28*(1-RefiCostPct)-AA28)-N(Deals!S28)-SheriffCostsFromBid)/(BuyerPremium+RTTPurchase))))))</f>
        <v/>
      </c>
      <c r="AF28" s="31" t="str">
        <f aca="false">IF(A28="","",IF(HoldMeasure="Cash-on-cash",AE28,AD28))</f>
        <v/>
      </c>
      <c r="AG28" s="31" t="str">
        <f aca="false">IF(A28="","",((AF28)*(1+BuyerPremium)+IF(N(Deals!S28)=0,0,MIN(N(Deals!S28),MAX(0,N(Deals!S28)+SheriffCostsFromBid-(AF28)*(1-RTTPurchase)))))+AA28)</f>
        <v/>
      </c>
      <c r="AH28" s="32" t="str">
        <f aca="false">IF(A28="","",IFERROR(Z28/AG28,0))</f>
        <v/>
      </c>
      <c r="AI28" s="31" t="str">
        <f aca="false">IF(A28="","",AG28-AB28*(1-RefiCostPct))</f>
        <v/>
      </c>
      <c r="AJ28" s="32" t="str">
        <f aca="false">IF(A28="","",IF(AI28&lt;=0,"All cash out",AC28/AI28))</f>
        <v/>
      </c>
      <c r="AK28" s="31" t="str">
        <f aca="false">IF(A28="","",IF(N(Deals!S28)=0,MAX(0,(T28-BuyerMarginPct*N(Deals!M28)-WholesaleMinFee)/(1+BuyerPremium)),IF((T28-BuyerMarginPct*N(Deals!M28)-WholesaleMinFee)&gt;=(N(Deals!S28)+SheriffCostsFromBid)/(1-RTTPurchase)*(1+BuyerPremium),(T28-BuyerMarginPct*N(Deals!M28)-WholesaleMinFee)/(1+BuyerPremium),MAX(0,((T28-BuyerMarginPct*N(Deals!M28)-WholesaleMinFee)-N(Deals!S28)-SheriffCostsFromBid)/(BuyerPremium+RTTPurchase)))))</f>
        <v/>
      </c>
      <c r="AL28" s="31" t="str">
        <f aca="false">IF(OR(A28="",N(Deals!U28)=0),"",Deals!U28*N(Deals!W28))</f>
        <v/>
      </c>
      <c r="AM28" s="31" t="str">
        <f aca="false">IF(AL28="","",DemoCost+N(Deals!V28)*BuildCostPSF*(1+SoftCostPct)+P28*(DeedMonths+K28*EjectMonths+BuildMonths+SellMonths)+Q28+AL28*(BrokerPct+SellerRTT+SellClosingPct+ConcessionsPct))</f>
        <v/>
      </c>
      <c r="AN28" s="31" t="str">
        <f aca="false">IF(AL28="","",IF(N(Deals!S28)=0,MAX(0,(AL28-AM28-MAX(FlipTarget,DevMarginPct*AL28))/(1+BuyerPremium)),IF((AL28-AM28-MAX(FlipTarget,DevMarginPct*AL28))&gt;=(N(Deals!S28)+SheriffCostsFromBid)/(1-RTTPurchase)*(1+BuyerPremium),(AL28-AM28-MAX(FlipTarget,DevMarginPct*AL28))/(1+BuyerPremium),MAX(0,((AL28-AM28-MAX(FlipTarget,DevMarginPct*AL28))-N(Deals!S28)-SheriffCostsFromBid)/(BuyerPremium+RTTPurchase)))))</f>
        <v/>
      </c>
    </row>
    <row r="29" customFormat="false" ht="15" hidden="false" customHeight="true" outlineLevel="0" collapsed="false">
      <c r="A29" s="27" t="str">
        <f aca="false">IF(Deals!A29="","",Deals!A29)</f>
        <v/>
      </c>
      <c r="B29" s="1" t="str">
        <f aca="false">IF(A29="","",Deals!B29)</f>
        <v/>
      </c>
      <c r="C29" s="26" t="str">
        <f aca="false">IF(A29="","",IF(MAX(V29,AF29)&lt;=0,"Pass",IF(V29&gt;=AF29,"Flip","Value-add hold")))</f>
        <v/>
      </c>
      <c r="D29" s="28" t="str">
        <f aca="false">IF(A29="","",MAX(V29,AF29))</f>
        <v/>
      </c>
      <c r="E29" s="29" t="str">
        <f aca="false">IF(A29="","",IF(D29&lt;=0,"Pass",IF(N(Deals!D29)&lt;=1,"$1 = awaiting minimum bid; re-check the morning of Nov 3",IF(D29&lt;Deals!D29,"Max bid below opening bid: pass","Room of "&amp;TEXT(D29-Deals!D29,"$#,##0")&amp;" over opening bid"))))</f>
        <v/>
      </c>
      <c r="F29" s="28" t="str">
        <f aca="false">IF(A29="","",IF(C29="Flip",W29,IF(C29="Value-add hold",AG29,0)))</f>
        <v/>
      </c>
      <c r="G29" s="29" t="str">
        <f aca="false">IF(A29="","",IF(C29="Flip",TEXT(X29,"$#,##0")&amp;" profit, "&amp;TEXT(Y29,"0%")&amp;"/yr over "&amp;TEXT(M29,"0")&amp;" mo",IF(C29="Value-add hold",TEXT(AH29,"0.0%")&amp;" yield on cost; "&amp;IF(ISNUMBER(AJ29),TEXT(AJ29,"0.0%")&amp;" cash-on-cash after refi","all cash out at refi"),"")))</f>
        <v/>
      </c>
      <c r="H29" s="26" t="str">
        <f aca="false">IF(A29="","",IF(C29="Flip",IF(W29&lt;=FlipCeiling,"In $300k flip box","Over flip ceiling: needs to be exceptional"),IF(C29="Value-add hold","Value-add","")))</f>
        <v/>
      </c>
      <c r="I29" s="29" t="str">
        <f aca="false">IF(A29="","",TRIM(IF(AK29&gt;D29,"Wholesale assignment supports "&amp;TEXT(AK29,"$#,##0")&amp;". ","")&amp;IF(AND(ISNUMBER(AN29),N(AN29)&gt;D29),"Teardown/new units supports "&amp;TEXT(AN29,"$#,##0")&amp;".","")))</f>
        <v/>
      </c>
      <c r="J29" s="29" t="str">
        <f aca="false">IF(A29="","",TRIM(IF(Deals!F29="2nd","Plaintiff is 2nd: add senior mortgage to surviving liens. ",IF(Deals!F29&lt;&gt;"1st","Lien position unconfirmed. ",""))&amp;IF(N(Deals!M29)=0,"No ARV yet. ","")&amp;IF(N(Deals!G29)=0,"No building sf: rehab is allowance only. ","")&amp;IF(AND(N(Deals!S29)&gt;0,D29&gt;0,D29*(1-RTTPurchase)-SheriffCostsFromBid&lt;N(Deals!S29)),"City claims not fully paid at max bid; unpaid part is counted as cost. ","")&amp;IF(K29=1,"Occupancy assumed: +"&amp;TEXT(EjectMonths,"0")&amp;" mo and possession cost. ","")))</f>
        <v/>
      </c>
      <c r="K29" s="27" t="str">
        <f aca="false">IF(A29="","",IF(OR(Deals!Q29="Occupied",AND(Deals!Q29&lt;&gt;"Vacant",UnknownAsOccupied="Y")),1,0))</f>
        <v/>
      </c>
      <c r="L29" s="30" t="str">
        <f aca="false">IF(A29="","",IFERROR(INDEX(ScopeMonths,MATCH(Deals!O29,ScopeNames,0)),INDEX(ScopeMonths,3)))</f>
        <v/>
      </c>
      <c r="M29" s="30" t="str">
        <f aca="false">IF(A29="","",DeedMonths+K29*EjectMonths+L29+SellMonths)</f>
        <v/>
      </c>
      <c r="N29" s="30" t="str">
        <f aca="false">IF(A29="","",DeedMonths+K29*EjectMonths+L29+LeaseUpMonths)</f>
        <v/>
      </c>
      <c r="O29" s="31" t="str">
        <f aca="false">IF(A29="","",N(Deals!G29)*IFERROR(INDEX(ScopePSF,MATCH(Deals!O29,ScopeNames,0)),INDEX(ScopePSF,3))*(1+Contingency)+BlindAllowance+N(Deals!P29))</f>
        <v/>
      </c>
      <c r="P29" s="31" t="str">
        <f aca="false">IF(A29="","",IF(N(Deals!K29)&gt;0,Deals!K29,N(Deals!M29))*TaxRate/12+VacantInsMo+SecuringMo+UtilitiesMo+N(Deals!T29))</f>
        <v/>
      </c>
      <c r="Q29" s="31" t="str">
        <f aca="false">IF(A29="","",SheriffFees+PurchaseTitle+CompelDeedLegal+K29*PossessionCost+N(Deals!R29)+N(Deals!T29)*HOAArrearsMonths)</f>
        <v/>
      </c>
      <c r="R29" s="31" t="str">
        <f aca="false">IF(A29="","",N(Deals!M29)*(BrokerPct+SellerRTT+SellClosingPct+ConcessionsPct))</f>
        <v/>
      </c>
      <c r="S29" s="31" t="str">
        <f aca="false">IF(A29="","",Q29+O29+P29*M29)</f>
        <v/>
      </c>
      <c r="T29" s="31" t="str">
        <f aca="false">IF(A29="","",N(Deals!M29)-R29-S29)</f>
        <v/>
      </c>
      <c r="U29" s="31" t="str">
        <f aca="false">IF(A29="","",MIN(T29-FlipTarget,(T29-FlipMinAnnROI*M29/12*S29)/(1+FlipMinAnnROI*M29/12)))</f>
        <v/>
      </c>
      <c r="V29" s="31" t="str">
        <f aca="false">IF(A29="","",IF(N(Deals!S29)=0,MAX(0,(U29)/(1+BuyerPremium)),IF((U29)&gt;=(N(Deals!S29)+SheriffCostsFromBid)/(1-RTTPurchase)*(1+BuyerPremium),(U29)/(1+BuyerPremium),MAX(0,((U29)-N(Deals!S29)-SheriffCostsFromBid)/(BuyerPremium+RTTPurchase)))))</f>
        <v/>
      </c>
      <c r="W29" s="31" t="str">
        <f aca="false">IF(A29="","",((V29)*(1+BuyerPremium)+IF(N(Deals!S29)=0,0,MIN(N(Deals!S29),MAX(0,N(Deals!S29)+SheriffCostsFromBid-(V29)*(1-RTTPurchase)))))+S29)</f>
        <v/>
      </c>
      <c r="X29" s="31" t="str">
        <f aca="false">IF(A29="","",T29-((V29)*(1+BuyerPremium)+IF(N(Deals!S29)=0,0,MIN(N(Deals!S29),MAX(0,N(Deals!S29)+SheriffCostsFromBid-(V29)*(1-RTTPurchase))))))</f>
        <v/>
      </c>
      <c r="Y29" s="32" t="str">
        <f aca="false">IF(A29="","",IFERROR(X29/W29/(M29/12),0))</f>
        <v/>
      </c>
      <c r="Z29" s="31" t="str">
        <f aca="false">IF(A29="","",N(Deals!N29)*12*(1-Vacancy)*(1-MgmtPct-MaintPct-CapexPct)-N(Deals!M29)*TaxRate-MAX(1,N(Deals!J29))*(InsPerUnit+WaterPerUnit)-N(Deals!T29)*12)</f>
        <v/>
      </c>
      <c r="AA29" s="31" t="str">
        <f aca="false">IF(A29="","",Q29+O29+P29*N29)</f>
        <v/>
      </c>
      <c r="AB29" s="31" t="str">
        <f aca="false">IF(A29="","",MAX(0,MIN(RefiLTV*N(Deals!M29),Z29/(RefiDSCR*12*PMT(RefiRate/12,RefiTerm*12,-1)))))</f>
        <v/>
      </c>
      <c r="AC29" s="31" t="str">
        <f aca="false">IF(A29="","",Z29-AB29*12*PMT(RefiRate/12,RefiTerm*12,-1))</f>
        <v/>
      </c>
      <c r="AD29" s="31" t="str">
        <f aca="false">IF(A29="","",IF(N(Deals!S29)=0,MAX(0,(Z29/HoldTarget-AA29)/(1+BuyerPremium)),IF((Z29/HoldTarget-AA29)&gt;=(N(Deals!S29)+SheriffCostsFromBid)/(1-RTTPurchase)*(1+BuyerPremium),(Z29/HoldTarget-AA29)/(1+BuyerPremium),MAX(0,((Z29/HoldTarget-AA29)-N(Deals!S29)-SheriffCostsFromBid)/(BuyerPremium+RTTPurchase)))))</f>
        <v/>
      </c>
      <c r="AE29" s="31" t="str">
        <f aca="false">IF(A29="","",IF(AC29&lt;=0,0,IF(N(Deals!S29)=0,MAX(0,(AC29/HoldTarget+AB29*(1-RefiCostPct)-AA29)/(1+BuyerPremium)),IF((AC29/HoldTarget+AB29*(1-RefiCostPct)-AA29)&gt;=(N(Deals!S29)+SheriffCostsFromBid)/(1-RTTPurchase)*(1+BuyerPremium),(AC29/HoldTarget+AB29*(1-RefiCostPct)-AA29)/(1+BuyerPremium),MAX(0,((AC29/HoldTarget+AB29*(1-RefiCostPct)-AA29)-N(Deals!S29)-SheriffCostsFromBid)/(BuyerPremium+RTTPurchase))))))</f>
        <v/>
      </c>
      <c r="AF29" s="31" t="str">
        <f aca="false">IF(A29="","",IF(HoldMeasure="Cash-on-cash",AE29,AD29))</f>
        <v/>
      </c>
      <c r="AG29" s="31" t="str">
        <f aca="false">IF(A29="","",((AF29)*(1+BuyerPremium)+IF(N(Deals!S29)=0,0,MIN(N(Deals!S29),MAX(0,N(Deals!S29)+SheriffCostsFromBid-(AF29)*(1-RTTPurchase)))))+AA29)</f>
        <v/>
      </c>
      <c r="AH29" s="32" t="str">
        <f aca="false">IF(A29="","",IFERROR(Z29/AG29,0))</f>
        <v/>
      </c>
      <c r="AI29" s="31" t="str">
        <f aca="false">IF(A29="","",AG29-AB29*(1-RefiCostPct))</f>
        <v/>
      </c>
      <c r="AJ29" s="32" t="str">
        <f aca="false">IF(A29="","",IF(AI29&lt;=0,"All cash out",AC29/AI29))</f>
        <v/>
      </c>
      <c r="AK29" s="31" t="str">
        <f aca="false">IF(A29="","",IF(N(Deals!S29)=0,MAX(0,(T29-BuyerMarginPct*N(Deals!M29)-WholesaleMinFee)/(1+BuyerPremium)),IF((T29-BuyerMarginPct*N(Deals!M29)-WholesaleMinFee)&gt;=(N(Deals!S29)+SheriffCostsFromBid)/(1-RTTPurchase)*(1+BuyerPremium),(T29-BuyerMarginPct*N(Deals!M29)-WholesaleMinFee)/(1+BuyerPremium),MAX(0,((T29-BuyerMarginPct*N(Deals!M29)-WholesaleMinFee)-N(Deals!S29)-SheriffCostsFromBid)/(BuyerPremium+RTTPurchase)))))</f>
        <v/>
      </c>
      <c r="AL29" s="31" t="str">
        <f aca="false">IF(OR(A29="",N(Deals!U29)=0),"",Deals!U29*N(Deals!W29))</f>
        <v/>
      </c>
      <c r="AM29" s="31" t="str">
        <f aca="false">IF(AL29="","",DemoCost+N(Deals!V29)*BuildCostPSF*(1+SoftCostPct)+P29*(DeedMonths+K29*EjectMonths+BuildMonths+SellMonths)+Q29+AL29*(BrokerPct+SellerRTT+SellClosingPct+ConcessionsPct))</f>
        <v/>
      </c>
      <c r="AN29" s="31" t="str">
        <f aca="false">IF(AL29="","",IF(N(Deals!S29)=0,MAX(0,(AL29-AM29-MAX(FlipTarget,DevMarginPct*AL29))/(1+BuyerPremium)),IF((AL29-AM29-MAX(FlipTarget,DevMarginPct*AL29))&gt;=(N(Deals!S29)+SheriffCostsFromBid)/(1-RTTPurchase)*(1+BuyerPremium),(AL29-AM29-MAX(FlipTarget,DevMarginPct*AL29))/(1+BuyerPremium),MAX(0,((AL29-AM29-MAX(FlipTarget,DevMarginPct*AL29))-N(Deals!S29)-SheriffCostsFromBid)/(BuyerPremium+RTTPurchase)))))</f>
        <v/>
      </c>
    </row>
    <row r="30" customFormat="false" ht="15" hidden="false" customHeight="true" outlineLevel="0" collapsed="false">
      <c r="A30" s="27" t="str">
        <f aca="false">IF(Deals!A30="","",Deals!A30)</f>
        <v/>
      </c>
      <c r="B30" s="1" t="str">
        <f aca="false">IF(A30="","",Deals!B30)</f>
        <v/>
      </c>
      <c r="C30" s="26" t="str">
        <f aca="false">IF(A30="","",IF(MAX(V30,AF30)&lt;=0,"Pass",IF(V30&gt;=AF30,"Flip","Value-add hold")))</f>
        <v/>
      </c>
      <c r="D30" s="28" t="str">
        <f aca="false">IF(A30="","",MAX(V30,AF30))</f>
        <v/>
      </c>
      <c r="E30" s="29" t="str">
        <f aca="false">IF(A30="","",IF(D30&lt;=0,"Pass",IF(N(Deals!D30)&lt;=1,"$1 = awaiting minimum bid; re-check the morning of Nov 3",IF(D30&lt;Deals!D30,"Max bid below opening bid: pass","Room of "&amp;TEXT(D30-Deals!D30,"$#,##0")&amp;" over opening bid"))))</f>
        <v/>
      </c>
      <c r="F30" s="28" t="str">
        <f aca="false">IF(A30="","",IF(C30="Flip",W30,IF(C30="Value-add hold",AG30,0)))</f>
        <v/>
      </c>
      <c r="G30" s="29" t="str">
        <f aca="false">IF(A30="","",IF(C30="Flip",TEXT(X30,"$#,##0")&amp;" profit, "&amp;TEXT(Y30,"0%")&amp;"/yr over "&amp;TEXT(M30,"0")&amp;" mo",IF(C30="Value-add hold",TEXT(AH30,"0.0%")&amp;" yield on cost; "&amp;IF(ISNUMBER(AJ30),TEXT(AJ30,"0.0%")&amp;" cash-on-cash after refi","all cash out at refi"),"")))</f>
        <v/>
      </c>
      <c r="H30" s="26" t="str">
        <f aca="false">IF(A30="","",IF(C30="Flip",IF(W30&lt;=FlipCeiling,"In $300k flip box","Over flip ceiling: needs to be exceptional"),IF(C30="Value-add hold","Value-add","")))</f>
        <v/>
      </c>
      <c r="I30" s="29" t="str">
        <f aca="false">IF(A30="","",TRIM(IF(AK30&gt;D30,"Wholesale assignment supports "&amp;TEXT(AK30,"$#,##0")&amp;". ","")&amp;IF(AND(ISNUMBER(AN30),N(AN30)&gt;D30),"Teardown/new units supports "&amp;TEXT(AN30,"$#,##0")&amp;".","")))</f>
        <v/>
      </c>
      <c r="J30" s="29" t="str">
        <f aca="false">IF(A30="","",TRIM(IF(Deals!F30="2nd","Plaintiff is 2nd: add senior mortgage to surviving liens. ",IF(Deals!F30&lt;&gt;"1st","Lien position unconfirmed. ",""))&amp;IF(N(Deals!M30)=0,"No ARV yet. ","")&amp;IF(N(Deals!G30)=0,"No building sf: rehab is allowance only. ","")&amp;IF(AND(N(Deals!S30)&gt;0,D30&gt;0,D30*(1-RTTPurchase)-SheriffCostsFromBid&lt;N(Deals!S30)),"City claims not fully paid at max bid; unpaid part is counted as cost. ","")&amp;IF(K30=1,"Occupancy assumed: +"&amp;TEXT(EjectMonths,"0")&amp;" mo and possession cost. ","")))</f>
        <v/>
      </c>
      <c r="K30" s="27" t="str">
        <f aca="false">IF(A30="","",IF(OR(Deals!Q30="Occupied",AND(Deals!Q30&lt;&gt;"Vacant",UnknownAsOccupied="Y")),1,0))</f>
        <v/>
      </c>
      <c r="L30" s="30" t="str">
        <f aca="false">IF(A30="","",IFERROR(INDEX(ScopeMonths,MATCH(Deals!O30,ScopeNames,0)),INDEX(ScopeMonths,3)))</f>
        <v/>
      </c>
      <c r="M30" s="30" t="str">
        <f aca="false">IF(A30="","",DeedMonths+K30*EjectMonths+L30+SellMonths)</f>
        <v/>
      </c>
      <c r="N30" s="30" t="str">
        <f aca="false">IF(A30="","",DeedMonths+K30*EjectMonths+L30+LeaseUpMonths)</f>
        <v/>
      </c>
      <c r="O30" s="31" t="str">
        <f aca="false">IF(A30="","",N(Deals!G30)*IFERROR(INDEX(ScopePSF,MATCH(Deals!O30,ScopeNames,0)),INDEX(ScopePSF,3))*(1+Contingency)+BlindAllowance+N(Deals!P30))</f>
        <v/>
      </c>
      <c r="P30" s="31" t="str">
        <f aca="false">IF(A30="","",IF(N(Deals!K30)&gt;0,Deals!K30,N(Deals!M30))*TaxRate/12+VacantInsMo+SecuringMo+UtilitiesMo+N(Deals!T30))</f>
        <v/>
      </c>
      <c r="Q30" s="31" t="str">
        <f aca="false">IF(A30="","",SheriffFees+PurchaseTitle+CompelDeedLegal+K30*PossessionCost+N(Deals!R30)+N(Deals!T30)*HOAArrearsMonths)</f>
        <v/>
      </c>
      <c r="R30" s="31" t="str">
        <f aca="false">IF(A30="","",N(Deals!M30)*(BrokerPct+SellerRTT+SellClosingPct+ConcessionsPct))</f>
        <v/>
      </c>
      <c r="S30" s="31" t="str">
        <f aca="false">IF(A30="","",Q30+O30+P30*M30)</f>
        <v/>
      </c>
      <c r="T30" s="31" t="str">
        <f aca="false">IF(A30="","",N(Deals!M30)-R30-S30)</f>
        <v/>
      </c>
      <c r="U30" s="31" t="str">
        <f aca="false">IF(A30="","",MIN(T30-FlipTarget,(T30-FlipMinAnnROI*M30/12*S30)/(1+FlipMinAnnROI*M30/12)))</f>
        <v/>
      </c>
      <c r="V30" s="31" t="str">
        <f aca="false">IF(A30="","",IF(N(Deals!S30)=0,MAX(0,(U30)/(1+BuyerPremium)),IF((U30)&gt;=(N(Deals!S30)+SheriffCostsFromBid)/(1-RTTPurchase)*(1+BuyerPremium),(U30)/(1+BuyerPremium),MAX(0,((U30)-N(Deals!S30)-SheriffCostsFromBid)/(BuyerPremium+RTTPurchase)))))</f>
        <v/>
      </c>
      <c r="W30" s="31" t="str">
        <f aca="false">IF(A30="","",((V30)*(1+BuyerPremium)+IF(N(Deals!S30)=0,0,MIN(N(Deals!S30),MAX(0,N(Deals!S30)+SheriffCostsFromBid-(V30)*(1-RTTPurchase)))))+S30)</f>
        <v/>
      </c>
      <c r="X30" s="31" t="str">
        <f aca="false">IF(A30="","",T30-((V30)*(1+BuyerPremium)+IF(N(Deals!S30)=0,0,MIN(N(Deals!S30),MAX(0,N(Deals!S30)+SheriffCostsFromBid-(V30)*(1-RTTPurchase))))))</f>
        <v/>
      </c>
      <c r="Y30" s="32" t="str">
        <f aca="false">IF(A30="","",IFERROR(X30/W30/(M30/12),0))</f>
        <v/>
      </c>
      <c r="Z30" s="31" t="str">
        <f aca="false">IF(A30="","",N(Deals!N30)*12*(1-Vacancy)*(1-MgmtPct-MaintPct-CapexPct)-N(Deals!M30)*TaxRate-MAX(1,N(Deals!J30))*(InsPerUnit+WaterPerUnit)-N(Deals!T30)*12)</f>
        <v/>
      </c>
      <c r="AA30" s="31" t="str">
        <f aca="false">IF(A30="","",Q30+O30+P30*N30)</f>
        <v/>
      </c>
      <c r="AB30" s="31" t="str">
        <f aca="false">IF(A30="","",MAX(0,MIN(RefiLTV*N(Deals!M30),Z30/(RefiDSCR*12*PMT(RefiRate/12,RefiTerm*12,-1)))))</f>
        <v/>
      </c>
      <c r="AC30" s="31" t="str">
        <f aca="false">IF(A30="","",Z30-AB30*12*PMT(RefiRate/12,RefiTerm*12,-1))</f>
        <v/>
      </c>
      <c r="AD30" s="31" t="str">
        <f aca="false">IF(A30="","",IF(N(Deals!S30)=0,MAX(0,(Z30/HoldTarget-AA30)/(1+BuyerPremium)),IF((Z30/HoldTarget-AA30)&gt;=(N(Deals!S30)+SheriffCostsFromBid)/(1-RTTPurchase)*(1+BuyerPremium),(Z30/HoldTarget-AA30)/(1+BuyerPremium),MAX(0,((Z30/HoldTarget-AA30)-N(Deals!S30)-SheriffCostsFromBid)/(BuyerPremium+RTTPurchase)))))</f>
        <v/>
      </c>
      <c r="AE30" s="31" t="str">
        <f aca="false">IF(A30="","",IF(AC30&lt;=0,0,IF(N(Deals!S30)=0,MAX(0,(AC30/HoldTarget+AB30*(1-RefiCostPct)-AA30)/(1+BuyerPremium)),IF((AC30/HoldTarget+AB30*(1-RefiCostPct)-AA30)&gt;=(N(Deals!S30)+SheriffCostsFromBid)/(1-RTTPurchase)*(1+BuyerPremium),(AC30/HoldTarget+AB30*(1-RefiCostPct)-AA30)/(1+BuyerPremium),MAX(0,((AC30/HoldTarget+AB30*(1-RefiCostPct)-AA30)-N(Deals!S30)-SheriffCostsFromBid)/(BuyerPremium+RTTPurchase))))))</f>
        <v/>
      </c>
      <c r="AF30" s="31" t="str">
        <f aca="false">IF(A30="","",IF(HoldMeasure="Cash-on-cash",AE30,AD30))</f>
        <v/>
      </c>
      <c r="AG30" s="31" t="str">
        <f aca="false">IF(A30="","",((AF30)*(1+BuyerPremium)+IF(N(Deals!S30)=0,0,MIN(N(Deals!S30),MAX(0,N(Deals!S30)+SheriffCostsFromBid-(AF30)*(1-RTTPurchase)))))+AA30)</f>
        <v/>
      </c>
      <c r="AH30" s="32" t="str">
        <f aca="false">IF(A30="","",IFERROR(Z30/AG30,0))</f>
        <v/>
      </c>
      <c r="AI30" s="31" t="str">
        <f aca="false">IF(A30="","",AG30-AB30*(1-RefiCostPct))</f>
        <v/>
      </c>
      <c r="AJ30" s="32" t="str">
        <f aca="false">IF(A30="","",IF(AI30&lt;=0,"All cash out",AC30/AI30))</f>
        <v/>
      </c>
      <c r="AK30" s="31" t="str">
        <f aca="false">IF(A30="","",IF(N(Deals!S30)=0,MAX(0,(T30-BuyerMarginPct*N(Deals!M30)-WholesaleMinFee)/(1+BuyerPremium)),IF((T30-BuyerMarginPct*N(Deals!M30)-WholesaleMinFee)&gt;=(N(Deals!S30)+SheriffCostsFromBid)/(1-RTTPurchase)*(1+BuyerPremium),(T30-BuyerMarginPct*N(Deals!M30)-WholesaleMinFee)/(1+BuyerPremium),MAX(0,((T30-BuyerMarginPct*N(Deals!M30)-WholesaleMinFee)-N(Deals!S30)-SheriffCostsFromBid)/(BuyerPremium+RTTPurchase)))))</f>
        <v/>
      </c>
      <c r="AL30" s="31" t="str">
        <f aca="false">IF(OR(A30="",N(Deals!U30)=0),"",Deals!U30*N(Deals!W30))</f>
        <v/>
      </c>
      <c r="AM30" s="31" t="str">
        <f aca="false">IF(AL30="","",DemoCost+N(Deals!V30)*BuildCostPSF*(1+SoftCostPct)+P30*(DeedMonths+K30*EjectMonths+BuildMonths+SellMonths)+Q30+AL30*(BrokerPct+SellerRTT+SellClosingPct+ConcessionsPct))</f>
        <v/>
      </c>
      <c r="AN30" s="31" t="str">
        <f aca="false">IF(AL30="","",IF(N(Deals!S30)=0,MAX(0,(AL30-AM30-MAX(FlipTarget,DevMarginPct*AL30))/(1+BuyerPremium)),IF((AL30-AM30-MAX(FlipTarget,DevMarginPct*AL30))&gt;=(N(Deals!S30)+SheriffCostsFromBid)/(1-RTTPurchase)*(1+BuyerPremium),(AL30-AM30-MAX(FlipTarget,DevMarginPct*AL30))/(1+BuyerPremium),MAX(0,((AL30-AM30-MAX(FlipTarget,DevMarginPct*AL30))-N(Deals!S30)-SheriffCostsFromBid)/(BuyerPremium+RTTPurchase)))))</f>
        <v/>
      </c>
    </row>
    <row r="31" customFormat="false" ht="15" hidden="false" customHeight="true" outlineLevel="0" collapsed="false">
      <c r="A31" s="27" t="str">
        <f aca="false">IF(Deals!A31="","",Deals!A31)</f>
        <v/>
      </c>
      <c r="B31" s="1" t="str">
        <f aca="false">IF(A31="","",Deals!B31)</f>
        <v/>
      </c>
      <c r="C31" s="26" t="str">
        <f aca="false">IF(A31="","",IF(MAX(V31,AF31)&lt;=0,"Pass",IF(V31&gt;=AF31,"Flip","Value-add hold")))</f>
        <v/>
      </c>
      <c r="D31" s="28" t="str">
        <f aca="false">IF(A31="","",MAX(V31,AF31))</f>
        <v/>
      </c>
      <c r="E31" s="29" t="str">
        <f aca="false">IF(A31="","",IF(D31&lt;=0,"Pass",IF(N(Deals!D31)&lt;=1,"$1 = awaiting minimum bid; re-check the morning of Nov 3",IF(D31&lt;Deals!D31,"Max bid below opening bid: pass","Room of "&amp;TEXT(D31-Deals!D31,"$#,##0")&amp;" over opening bid"))))</f>
        <v/>
      </c>
      <c r="F31" s="28" t="str">
        <f aca="false">IF(A31="","",IF(C31="Flip",W31,IF(C31="Value-add hold",AG31,0)))</f>
        <v/>
      </c>
      <c r="G31" s="29" t="str">
        <f aca="false">IF(A31="","",IF(C31="Flip",TEXT(X31,"$#,##0")&amp;" profit, "&amp;TEXT(Y31,"0%")&amp;"/yr over "&amp;TEXT(M31,"0")&amp;" mo",IF(C31="Value-add hold",TEXT(AH31,"0.0%")&amp;" yield on cost; "&amp;IF(ISNUMBER(AJ31),TEXT(AJ31,"0.0%")&amp;" cash-on-cash after refi","all cash out at refi"),"")))</f>
        <v/>
      </c>
      <c r="H31" s="26" t="str">
        <f aca="false">IF(A31="","",IF(C31="Flip",IF(W31&lt;=FlipCeiling,"In $300k flip box","Over flip ceiling: needs to be exceptional"),IF(C31="Value-add hold","Value-add","")))</f>
        <v/>
      </c>
      <c r="I31" s="29" t="str">
        <f aca="false">IF(A31="","",TRIM(IF(AK31&gt;D31,"Wholesale assignment supports "&amp;TEXT(AK31,"$#,##0")&amp;". ","")&amp;IF(AND(ISNUMBER(AN31),N(AN31)&gt;D31),"Teardown/new units supports "&amp;TEXT(AN31,"$#,##0")&amp;".","")))</f>
        <v/>
      </c>
      <c r="J31" s="29" t="str">
        <f aca="false">IF(A31="","",TRIM(IF(Deals!F31="2nd","Plaintiff is 2nd: add senior mortgage to surviving liens. ",IF(Deals!F31&lt;&gt;"1st","Lien position unconfirmed. ",""))&amp;IF(N(Deals!M31)=0,"No ARV yet. ","")&amp;IF(N(Deals!G31)=0,"No building sf: rehab is allowance only. ","")&amp;IF(AND(N(Deals!S31)&gt;0,D31&gt;0,D31*(1-RTTPurchase)-SheriffCostsFromBid&lt;N(Deals!S31)),"City claims not fully paid at max bid; unpaid part is counted as cost. ","")&amp;IF(K31=1,"Occupancy assumed: +"&amp;TEXT(EjectMonths,"0")&amp;" mo and possession cost. ","")))</f>
        <v/>
      </c>
      <c r="K31" s="27" t="str">
        <f aca="false">IF(A31="","",IF(OR(Deals!Q31="Occupied",AND(Deals!Q31&lt;&gt;"Vacant",UnknownAsOccupied="Y")),1,0))</f>
        <v/>
      </c>
      <c r="L31" s="30" t="str">
        <f aca="false">IF(A31="","",IFERROR(INDEX(ScopeMonths,MATCH(Deals!O31,ScopeNames,0)),INDEX(ScopeMonths,3)))</f>
        <v/>
      </c>
      <c r="M31" s="30" t="str">
        <f aca="false">IF(A31="","",DeedMonths+K31*EjectMonths+L31+SellMonths)</f>
        <v/>
      </c>
      <c r="N31" s="30" t="str">
        <f aca="false">IF(A31="","",DeedMonths+K31*EjectMonths+L31+LeaseUpMonths)</f>
        <v/>
      </c>
      <c r="O31" s="31" t="str">
        <f aca="false">IF(A31="","",N(Deals!G31)*IFERROR(INDEX(ScopePSF,MATCH(Deals!O31,ScopeNames,0)),INDEX(ScopePSF,3))*(1+Contingency)+BlindAllowance+N(Deals!P31))</f>
        <v/>
      </c>
      <c r="P31" s="31" t="str">
        <f aca="false">IF(A31="","",IF(N(Deals!K31)&gt;0,Deals!K31,N(Deals!M31))*TaxRate/12+VacantInsMo+SecuringMo+UtilitiesMo+N(Deals!T31))</f>
        <v/>
      </c>
      <c r="Q31" s="31" t="str">
        <f aca="false">IF(A31="","",SheriffFees+PurchaseTitle+CompelDeedLegal+K31*PossessionCost+N(Deals!R31)+N(Deals!T31)*HOAArrearsMonths)</f>
        <v/>
      </c>
      <c r="R31" s="31" t="str">
        <f aca="false">IF(A31="","",N(Deals!M31)*(BrokerPct+SellerRTT+SellClosingPct+ConcessionsPct))</f>
        <v/>
      </c>
      <c r="S31" s="31" t="str">
        <f aca="false">IF(A31="","",Q31+O31+P31*M31)</f>
        <v/>
      </c>
      <c r="T31" s="31" t="str">
        <f aca="false">IF(A31="","",N(Deals!M31)-R31-S31)</f>
        <v/>
      </c>
      <c r="U31" s="31" t="str">
        <f aca="false">IF(A31="","",MIN(T31-FlipTarget,(T31-FlipMinAnnROI*M31/12*S31)/(1+FlipMinAnnROI*M31/12)))</f>
        <v/>
      </c>
      <c r="V31" s="31" t="str">
        <f aca="false">IF(A31="","",IF(N(Deals!S31)=0,MAX(0,(U31)/(1+BuyerPremium)),IF((U31)&gt;=(N(Deals!S31)+SheriffCostsFromBid)/(1-RTTPurchase)*(1+BuyerPremium),(U31)/(1+BuyerPremium),MAX(0,((U31)-N(Deals!S31)-SheriffCostsFromBid)/(BuyerPremium+RTTPurchase)))))</f>
        <v/>
      </c>
      <c r="W31" s="31" t="str">
        <f aca="false">IF(A31="","",((V31)*(1+BuyerPremium)+IF(N(Deals!S31)=0,0,MIN(N(Deals!S31),MAX(0,N(Deals!S31)+SheriffCostsFromBid-(V31)*(1-RTTPurchase)))))+S31)</f>
        <v/>
      </c>
      <c r="X31" s="31" t="str">
        <f aca="false">IF(A31="","",T31-((V31)*(1+BuyerPremium)+IF(N(Deals!S31)=0,0,MIN(N(Deals!S31),MAX(0,N(Deals!S31)+SheriffCostsFromBid-(V31)*(1-RTTPurchase))))))</f>
        <v/>
      </c>
      <c r="Y31" s="32" t="str">
        <f aca="false">IF(A31="","",IFERROR(X31/W31/(M31/12),0))</f>
        <v/>
      </c>
      <c r="Z31" s="31" t="str">
        <f aca="false">IF(A31="","",N(Deals!N31)*12*(1-Vacancy)*(1-MgmtPct-MaintPct-CapexPct)-N(Deals!M31)*TaxRate-MAX(1,N(Deals!J31))*(InsPerUnit+WaterPerUnit)-N(Deals!T31)*12)</f>
        <v/>
      </c>
      <c r="AA31" s="31" t="str">
        <f aca="false">IF(A31="","",Q31+O31+P31*N31)</f>
        <v/>
      </c>
      <c r="AB31" s="31" t="str">
        <f aca="false">IF(A31="","",MAX(0,MIN(RefiLTV*N(Deals!M31),Z31/(RefiDSCR*12*PMT(RefiRate/12,RefiTerm*12,-1)))))</f>
        <v/>
      </c>
      <c r="AC31" s="31" t="str">
        <f aca="false">IF(A31="","",Z31-AB31*12*PMT(RefiRate/12,RefiTerm*12,-1))</f>
        <v/>
      </c>
      <c r="AD31" s="31" t="str">
        <f aca="false">IF(A31="","",IF(N(Deals!S31)=0,MAX(0,(Z31/HoldTarget-AA31)/(1+BuyerPremium)),IF((Z31/HoldTarget-AA31)&gt;=(N(Deals!S31)+SheriffCostsFromBid)/(1-RTTPurchase)*(1+BuyerPremium),(Z31/HoldTarget-AA31)/(1+BuyerPremium),MAX(0,((Z31/HoldTarget-AA31)-N(Deals!S31)-SheriffCostsFromBid)/(BuyerPremium+RTTPurchase)))))</f>
        <v/>
      </c>
      <c r="AE31" s="31" t="str">
        <f aca="false">IF(A31="","",IF(AC31&lt;=0,0,IF(N(Deals!S31)=0,MAX(0,(AC31/HoldTarget+AB31*(1-RefiCostPct)-AA31)/(1+BuyerPremium)),IF((AC31/HoldTarget+AB31*(1-RefiCostPct)-AA31)&gt;=(N(Deals!S31)+SheriffCostsFromBid)/(1-RTTPurchase)*(1+BuyerPremium),(AC31/HoldTarget+AB31*(1-RefiCostPct)-AA31)/(1+BuyerPremium),MAX(0,((AC31/HoldTarget+AB31*(1-RefiCostPct)-AA31)-N(Deals!S31)-SheriffCostsFromBid)/(BuyerPremium+RTTPurchase))))))</f>
        <v/>
      </c>
      <c r="AF31" s="31" t="str">
        <f aca="false">IF(A31="","",IF(HoldMeasure="Cash-on-cash",AE31,AD31))</f>
        <v/>
      </c>
      <c r="AG31" s="31" t="str">
        <f aca="false">IF(A31="","",((AF31)*(1+BuyerPremium)+IF(N(Deals!S31)=0,0,MIN(N(Deals!S31),MAX(0,N(Deals!S31)+SheriffCostsFromBid-(AF31)*(1-RTTPurchase)))))+AA31)</f>
        <v/>
      </c>
      <c r="AH31" s="32" t="str">
        <f aca="false">IF(A31="","",IFERROR(Z31/AG31,0))</f>
        <v/>
      </c>
      <c r="AI31" s="31" t="str">
        <f aca="false">IF(A31="","",AG31-AB31*(1-RefiCostPct))</f>
        <v/>
      </c>
      <c r="AJ31" s="32" t="str">
        <f aca="false">IF(A31="","",IF(AI31&lt;=0,"All cash out",AC31/AI31))</f>
        <v/>
      </c>
      <c r="AK31" s="31" t="str">
        <f aca="false">IF(A31="","",IF(N(Deals!S31)=0,MAX(0,(T31-BuyerMarginPct*N(Deals!M31)-WholesaleMinFee)/(1+BuyerPremium)),IF((T31-BuyerMarginPct*N(Deals!M31)-WholesaleMinFee)&gt;=(N(Deals!S31)+SheriffCostsFromBid)/(1-RTTPurchase)*(1+BuyerPremium),(T31-BuyerMarginPct*N(Deals!M31)-WholesaleMinFee)/(1+BuyerPremium),MAX(0,((T31-BuyerMarginPct*N(Deals!M31)-WholesaleMinFee)-N(Deals!S31)-SheriffCostsFromBid)/(BuyerPremium+RTTPurchase)))))</f>
        <v/>
      </c>
      <c r="AL31" s="31" t="str">
        <f aca="false">IF(OR(A31="",N(Deals!U31)=0),"",Deals!U31*N(Deals!W31))</f>
        <v/>
      </c>
      <c r="AM31" s="31" t="str">
        <f aca="false">IF(AL31="","",DemoCost+N(Deals!V31)*BuildCostPSF*(1+SoftCostPct)+P31*(DeedMonths+K31*EjectMonths+BuildMonths+SellMonths)+Q31+AL31*(BrokerPct+SellerRTT+SellClosingPct+ConcessionsPct))</f>
        <v/>
      </c>
      <c r="AN31" s="31" t="str">
        <f aca="false">IF(AL31="","",IF(N(Deals!S31)=0,MAX(0,(AL31-AM31-MAX(FlipTarget,DevMarginPct*AL31))/(1+BuyerPremium)),IF((AL31-AM31-MAX(FlipTarget,DevMarginPct*AL31))&gt;=(N(Deals!S31)+SheriffCostsFromBid)/(1-RTTPurchase)*(1+BuyerPremium),(AL31-AM31-MAX(FlipTarget,DevMarginPct*AL31))/(1+BuyerPremium),MAX(0,((AL31-AM31-MAX(FlipTarget,DevMarginPct*AL31))-N(Deals!S31)-SheriffCostsFromBid)/(BuyerPremium+RTTPurchase)))))</f>
        <v/>
      </c>
    </row>
    <row r="32" customFormat="false" ht="15" hidden="false" customHeight="true" outlineLevel="0" collapsed="false">
      <c r="A32" s="27" t="str">
        <f aca="false">IF(Deals!A32="","",Deals!A32)</f>
        <v/>
      </c>
      <c r="B32" s="1" t="str">
        <f aca="false">IF(A32="","",Deals!B32)</f>
        <v/>
      </c>
      <c r="C32" s="26" t="str">
        <f aca="false">IF(A32="","",IF(MAX(V32,AF32)&lt;=0,"Pass",IF(V32&gt;=AF32,"Flip","Value-add hold")))</f>
        <v/>
      </c>
      <c r="D32" s="28" t="str">
        <f aca="false">IF(A32="","",MAX(V32,AF32))</f>
        <v/>
      </c>
      <c r="E32" s="29" t="str">
        <f aca="false">IF(A32="","",IF(D32&lt;=0,"Pass",IF(N(Deals!D32)&lt;=1,"$1 = awaiting minimum bid; re-check the morning of Nov 3",IF(D32&lt;Deals!D32,"Max bid below opening bid: pass","Room of "&amp;TEXT(D32-Deals!D32,"$#,##0")&amp;" over opening bid"))))</f>
        <v/>
      </c>
      <c r="F32" s="28" t="str">
        <f aca="false">IF(A32="","",IF(C32="Flip",W32,IF(C32="Value-add hold",AG32,0)))</f>
        <v/>
      </c>
      <c r="G32" s="29" t="str">
        <f aca="false">IF(A32="","",IF(C32="Flip",TEXT(X32,"$#,##0")&amp;" profit, "&amp;TEXT(Y32,"0%")&amp;"/yr over "&amp;TEXT(M32,"0")&amp;" mo",IF(C32="Value-add hold",TEXT(AH32,"0.0%")&amp;" yield on cost; "&amp;IF(ISNUMBER(AJ32),TEXT(AJ32,"0.0%")&amp;" cash-on-cash after refi","all cash out at refi"),"")))</f>
        <v/>
      </c>
      <c r="H32" s="26" t="str">
        <f aca="false">IF(A32="","",IF(C32="Flip",IF(W32&lt;=FlipCeiling,"In $300k flip box","Over flip ceiling: needs to be exceptional"),IF(C32="Value-add hold","Value-add","")))</f>
        <v/>
      </c>
      <c r="I32" s="29" t="str">
        <f aca="false">IF(A32="","",TRIM(IF(AK32&gt;D32,"Wholesale assignment supports "&amp;TEXT(AK32,"$#,##0")&amp;". ","")&amp;IF(AND(ISNUMBER(AN32),N(AN32)&gt;D32),"Teardown/new units supports "&amp;TEXT(AN32,"$#,##0")&amp;".","")))</f>
        <v/>
      </c>
      <c r="J32" s="29" t="str">
        <f aca="false">IF(A32="","",TRIM(IF(Deals!F32="2nd","Plaintiff is 2nd: add senior mortgage to surviving liens. ",IF(Deals!F32&lt;&gt;"1st","Lien position unconfirmed. ",""))&amp;IF(N(Deals!M32)=0,"No ARV yet. ","")&amp;IF(N(Deals!G32)=0,"No building sf: rehab is allowance only. ","")&amp;IF(AND(N(Deals!S32)&gt;0,D32&gt;0,D32*(1-RTTPurchase)-SheriffCostsFromBid&lt;N(Deals!S32)),"City claims not fully paid at max bid; unpaid part is counted as cost. ","")&amp;IF(K32=1,"Occupancy assumed: +"&amp;TEXT(EjectMonths,"0")&amp;" mo and possession cost. ","")))</f>
        <v/>
      </c>
      <c r="K32" s="27" t="str">
        <f aca="false">IF(A32="","",IF(OR(Deals!Q32="Occupied",AND(Deals!Q32&lt;&gt;"Vacant",UnknownAsOccupied="Y")),1,0))</f>
        <v/>
      </c>
      <c r="L32" s="30" t="str">
        <f aca="false">IF(A32="","",IFERROR(INDEX(ScopeMonths,MATCH(Deals!O32,ScopeNames,0)),INDEX(ScopeMonths,3)))</f>
        <v/>
      </c>
      <c r="M32" s="30" t="str">
        <f aca="false">IF(A32="","",DeedMonths+K32*EjectMonths+L32+SellMonths)</f>
        <v/>
      </c>
      <c r="N32" s="30" t="str">
        <f aca="false">IF(A32="","",DeedMonths+K32*EjectMonths+L32+LeaseUpMonths)</f>
        <v/>
      </c>
      <c r="O32" s="31" t="str">
        <f aca="false">IF(A32="","",N(Deals!G32)*IFERROR(INDEX(ScopePSF,MATCH(Deals!O32,ScopeNames,0)),INDEX(ScopePSF,3))*(1+Contingency)+BlindAllowance+N(Deals!P32))</f>
        <v/>
      </c>
      <c r="P32" s="31" t="str">
        <f aca="false">IF(A32="","",IF(N(Deals!K32)&gt;0,Deals!K32,N(Deals!M32))*TaxRate/12+VacantInsMo+SecuringMo+UtilitiesMo+N(Deals!T32))</f>
        <v/>
      </c>
      <c r="Q32" s="31" t="str">
        <f aca="false">IF(A32="","",SheriffFees+PurchaseTitle+CompelDeedLegal+K32*PossessionCost+N(Deals!R32)+N(Deals!T32)*HOAArrearsMonths)</f>
        <v/>
      </c>
      <c r="R32" s="31" t="str">
        <f aca="false">IF(A32="","",N(Deals!M32)*(BrokerPct+SellerRTT+SellClosingPct+ConcessionsPct))</f>
        <v/>
      </c>
      <c r="S32" s="31" t="str">
        <f aca="false">IF(A32="","",Q32+O32+P32*M32)</f>
        <v/>
      </c>
      <c r="T32" s="31" t="str">
        <f aca="false">IF(A32="","",N(Deals!M32)-R32-S32)</f>
        <v/>
      </c>
      <c r="U32" s="31" t="str">
        <f aca="false">IF(A32="","",MIN(T32-FlipTarget,(T32-FlipMinAnnROI*M32/12*S32)/(1+FlipMinAnnROI*M32/12)))</f>
        <v/>
      </c>
      <c r="V32" s="31" t="str">
        <f aca="false">IF(A32="","",IF(N(Deals!S32)=0,MAX(0,(U32)/(1+BuyerPremium)),IF((U32)&gt;=(N(Deals!S32)+SheriffCostsFromBid)/(1-RTTPurchase)*(1+BuyerPremium),(U32)/(1+BuyerPremium),MAX(0,((U32)-N(Deals!S32)-SheriffCostsFromBid)/(BuyerPremium+RTTPurchase)))))</f>
        <v/>
      </c>
      <c r="W32" s="31" t="str">
        <f aca="false">IF(A32="","",((V32)*(1+BuyerPremium)+IF(N(Deals!S32)=0,0,MIN(N(Deals!S32),MAX(0,N(Deals!S32)+SheriffCostsFromBid-(V32)*(1-RTTPurchase)))))+S32)</f>
        <v/>
      </c>
      <c r="X32" s="31" t="str">
        <f aca="false">IF(A32="","",T32-((V32)*(1+BuyerPremium)+IF(N(Deals!S32)=0,0,MIN(N(Deals!S32),MAX(0,N(Deals!S32)+SheriffCostsFromBid-(V32)*(1-RTTPurchase))))))</f>
        <v/>
      </c>
      <c r="Y32" s="32" t="str">
        <f aca="false">IF(A32="","",IFERROR(X32/W32/(M32/12),0))</f>
        <v/>
      </c>
      <c r="Z32" s="31" t="str">
        <f aca="false">IF(A32="","",N(Deals!N32)*12*(1-Vacancy)*(1-MgmtPct-MaintPct-CapexPct)-N(Deals!M32)*TaxRate-MAX(1,N(Deals!J32))*(InsPerUnit+WaterPerUnit)-N(Deals!T32)*12)</f>
        <v/>
      </c>
      <c r="AA32" s="31" t="str">
        <f aca="false">IF(A32="","",Q32+O32+P32*N32)</f>
        <v/>
      </c>
      <c r="AB32" s="31" t="str">
        <f aca="false">IF(A32="","",MAX(0,MIN(RefiLTV*N(Deals!M32),Z32/(RefiDSCR*12*PMT(RefiRate/12,RefiTerm*12,-1)))))</f>
        <v/>
      </c>
      <c r="AC32" s="31" t="str">
        <f aca="false">IF(A32="","",Z32-AB32*12*PMT(RefiRate/12,RefiTerm*12,-1))</f>
        <v/>
      </c>
      <c r="AD32" s="31" t="str">
        <f aca="false">IF(A32="","",IF(N(Deals!S32)=0,MAX(0,(Z32/HoldTarget-AA32)/(1+BuyerPremium)),IF((Z32/HoldTarget-AA32)&gt;=(N(Deals!S32)+SheriffCostsFromBid)/(1-RTTPurchase)*(1+BuyerPremium),(Z32/HoldTarget-AA32)/(1+BuyerPremium),MAX(0,((Z32/HoldTarget-AA32)-N(Deals!S32)-SheriffCostsFromBid)/(BuyerPremium+RTTPurchase)))))</f>
        <v/>
      </c>
      <c r="AE32" s="31" t="str">
        <f aca="false">IF(A32="","",IF(AC32&lt;=0,0,IF(N(Deals!S32)=0,MAX(0,(AC32/HoldTarget+AB32*(1-RefiCostPct)-AA32)/(1+BuyerPremium)),IF((AC32/HoldTarget+AB32*(1-RefiCostPct)-AA32)&gt;=(N(Deals!S32)+SheriffCostsFromBid)/(1-RTTPurchase)*(1+BuyerPremium),(AC32/HoldTarget+AB32*(1-RefiCostPct)-AA32)/(1+BuyerPremium),MAX(0,((AC32/HoldTarget+AB32*(1-RefiCostPct)-AA32)-N(Deals!S32)-SheriffCostsFromBid)/(BuyerPremium+RTTPurchase))))))</f>
        <v/>
      </c>
      <c r="AF32" s="31" t="str">
        <f aca="false">IF(A32="","",IF(HoldMeasure="Cash-on-cash",AE32,AD32))</f>
        <v/>
      </c>
      <c r="AG32" s="31" t="str">
        <f aca="false">IF(A32="","",((AF32)*(1+BuyerPremium)+IF(N(Deals!S32)=0,0,MIN(N(Deals!S32),MAX(0,N(Deals!S32)+SheriffCostsFromBid-(AF32)*(1-RTTPurchase)))))+AA32)</f>
        <v/>
      </c>
      <c r="AH32" s="32" t="str">
        <f aca="false">IF(A32="","",IFERROR(Z32/AG32,0))</f>
        <v/>
      </c>
      <c r="AI32" s="31" t="str">
        <f aca="false">IF(A32="","",AG32-AB32*(1-RefiCostPct))</f>
        <v/>
      </c>
      <c r="AJ32" s="32" t="str">
        <f aca="false">IF(A32="","",IF(AI32&lt;=0,"All cash out",AC32/AI32))</f>
        <v/>
      </c>
      <c r="AK32" s="31" t="str">
        <f aca="false">IF(A32="","",IF(N(Deals!S32)=0,MAX(0,(T32-BuyerMarginPct*N(Deals!M32)-WholesaleMinFee)/(1+BuyerPremium)),IF((T32-BuyerMarginPct*N(Deals!M32)-WholesaleMinFee)&gt;=(N(Deals!S32)+SheriffCostsFromBid)/(1-RTTPurchase)*(1+BuyerPremium),(T32-BuyerMarginPct*N(Deals!M32)-WholesaleMinFee)/(1+BuyerPremium),MAX(0,((T32-BuyerMarginPct*N(Deals!M32)-WholesaleMinFee)-N(Deals!S32)-SheriffCostsFromBid)/(BuyerPremium+RTTPurchase)))))</f>
        <v/>
      </c>
      <c r="AL32" s="31" t="str">
        <f aca="false">IF(OR(A32="",N(Deals!U32)=0),"",Deals!U32*N(Deals!W32))</f>
        <v/>
      </c>
      <c r="AM32" s="31" t="str">
        <f aca="false">IF(AL32="","",DemoCost+N(Deals!V32)*BuildCostPSF*(1+SoftCostPct)+P32*(DeedMonths+K32*EjectMonths+BuildMonths+SellMonths)+Q32+AL32*(BrokerPct+SellerRTT+SellClosingPct+ConcessionsPct))</f>
        <v/>
      </c>
      <c r="AN32" s="31" t="str">
        <f aca="false">IF(AL32="","",IF(N(Deals!S32)=0,MAX(0,(AL32-AM32-MAX(FlipTarget,DevMarginPct*AL32))/(1+BuyerPremium)),IF((AL32-AM32-MAX(FlipTarget,DevMarginPct*AL32))&gt;=(N(Deals!S32)+SheriffCostsFromBid)/(1-RTTPurchase)*(1+BuyerPremium),(AL32-AM32-MAX(FlipTarget,DevMarginPct*AL32))/(1+BuyerPremium),MAX(0,((AL32-AM32-MAX(FlipTarget,DevMarginPct*AL32))-N(Deals!S32)-SheriffCostsFromBid)/(BuyerPremium+RTTPurchase)))))</f>
        <v/>
      </c>
    </row>
    <row r="33" customFormat="false" ht="15" hidden="false" customHeight="true" outlineLevel="0" collapsed="false">
      <c r="A33" s="27" t="str">
        <f aca="false">IF(Deals!A33="","",Deals!A33)</f>
        <v/>
      </c>
      <c r="B33" s="1" t="str">
        <f aca="false">IF(A33="","",Deals!B33)</f>
        <v/>
      </c>
      <c r="C33" s="26" t="str">
        <f aca="false">IF(A33="","",IF(MAX(V33,AF33)&lt;=0,"Pass",IF(V33&gt;=AF33,"Flip","Value-add hold")))</f>
        <v/>
      </c>
      <c r="D33" s="28" t="str">
        <f aca="false">IF(A33="","",MAX(V33,AF33))</f>
        <v/>
      </c>
      <c r="E33" s="29" t="str">
        <f aca="false">IF(A33="","",IF(D33&lt;=0,"Pass",IF(N(Deals!D33)&lt;=1,"$1 = awaiting minimum bid; re-check the morning of Nov 3",IF(D33&lt;Deals!D33,"Max bid below opening bid: pass","Room of "&amp;TEXT(D33-Deals!D33,"$#,##0")&amp;" over opening bid"))))</f>
        <v/>
      </c>
      <c r="F33" s="28" t="str">
        <f aca="false">IF(A33="","",IF(C33="Flip",W33,IF(C33="Value-add hold",AG33,0)))</f>
        <v/>
      </c>
      <c r="G33" s="29" t="str">
        <f aca="false">IF(A33="","",IF(C33="Flip",TEXT(X33,"$#,##0")&amp;" profit, "&amp;TEXT(Y33,"0%")&amp;"/yr over "&amp;TEXT(M33,"0")&amp;" mo",IF(C33="Value-add hold",TEXT(AH33,"0.0%")&amp;" yield on cost; "&amp;IF(ISNUMBER(AJ33),TEXT(AJ33,"0.0%")&amp;" cash-on-cash after refi","all cash out at refi"),"")))</f>
        <v/>
      </c>
      <c r="H33" s="26" t="str">
        <f aca="false">IF(A33="","",IF(C33="Flip",IF(W33&lt;=FlipCeiling,"In $300k flip box","Over flip ceiling: needs to be exceptional"),IF(C33="Value-add hold","Value-add","")))</f>
        <v/>
      </c>
      <c r="I33" s="29" t="str">
        <f aca="false">IF(A33="","",TRIM(IF(AK33&gt;D33,"Wholesale assignment supports "&amp;TEXT(AK33,"$#,##0")&amp;". ","")&amp;IF(AND(ISNUMBER(AN33),N(AN33)&gt;D33),"Teardown/new units supports "&amp;TEXT(AN33,"$#,##0")&amp;".","")))</f>
        <v/>
      </c>
      <c r="J33" s="29" t="str">
        <f aca="false">IF(A33="","",TRIM(IF(Deals!F33="2nd","Plaintiff is 2nd: add senior mortgage to surviving liens. ",IF(Deals!F33&lt;&gt;"1st","Lien position unconfirmed. ",""))&amp;IF(N(Deals!M33)=0,"No ARV yet. ","")&amp;IF(N(Deals!G33)=0,"No building sf: rehab is allowance only. ","")&amp;IF(AND(N(Deals!S33)&gt;0,D33&gt;0,D33*(1-RTTPurchase)-SheriffCostsFromBid&lt;N(Deals!S33)),"City claims not fully paid at max bid; unpaid part is counted as cost. ","")&amp;IF(K33=1,"Occupancy assumed: +"&amp;TEXT(EjectMonths,"0")&amp;" mo and possession cost. ","")))</f>
        <v/>
      </c>
      <c r="K33" s="27" t="str">
        <f aca="false">IF(A33="","",IF(OR(Deals!Q33="Occupied",AND(Deals!Q33&lt;&gt;"Vacant",UnknownAsOccupied="Y")),1,0))</f>
        <v/>
      </c>
      <c r="L33" s="30" t="str">
        <f aca="false">IF(A33="","",IFERROR(INDEX(ScopeMonths,MATCH(Deals!O33,ScopeNames,0)),INDEX(ScopeMonths,3)))</f>
        <v/>
      </c>
      <c r="M33" s="30" t="str">
        <f aca="false">IF(A33="","",DeedMonths+K33*EjectMonths+L33+SellMonths)</f>
        <v/>
      </c>
      <c r="N33" s="30" t="str">
        <f aca="false">IF(A33="","",DeedMonths+K33*EjectMonths+L33+LeaseUpMonths)</f>
        <v/>
      </c>
      <c r="O33" s="31" t="str">
        <f aca="false">IF(A33="","",N(Deals!G33)*IFERROR(INDEX(ScopePSF,MATCH(Deals!O33,ScopeNames,0)),INDEX(ScopePSF,3))*(1+Contingency)+BlindAllowance+N(Deals!P33))</f>
        <v/>
      </c>
      <c r="P33" s="31" t="str">
        <f aca="false">IF(A33="","",IF(N(Deals!K33)&gt;0,Deals!K33,N(Deals!M33))*TaxRate/12+VacantInsMo+SecuringMo+UtilitiesMo+N(Deals!T33))</f>
        <v/>
      </c>
      <c r="Q33" s="31" t="str">
        <f aca="false">IF(A33="","",SheriffFees+PurchaseTitle+CompelDeedLegal+K33*PossessionCost+N(Deals!R33)+N(Deals!T33)*HOAArrearsMonths)</f>
        <v/>
      </c>
      <c r="R33" s="31" t="str">
        <f aca="false">IF(A33="","",N(Deals!M33)*(BrokerPct+SellerRTT+SellClosingPct+ConcessionsPct))</f>
        <v/>
      </c>
      <c r="S33" s="31" t="str">
        <f aca="false">IF(A33="","",Q33+O33+P33*M33)</f>
        <v/>
      </c>
      <c r="T33" s="31" t="str">
        <f aca="false">IF(A33="","",N(Deals!M33)-R33-S33)</f>
        <v/>
      </c>
      <c r="U33" s="31" t="str">
        <f aca="false">IF(A33="","",MIN(T33-FlipTarget,(T33-FlipMinAnnROI*M33/12*S33)/(1+FlipMinAnnROI*M33/12)))</f>
        <v/>
      </c>
      <c r="V33" s="31" t="str">
        <f aca="false">IF(A33="","",IF(N(Deals!S33)=0,MAX(0,(U33)/(1+BuyerPremium)),IF((U33)&gt;=(N(Deals!S33)+SheriffCostsFromBid)/(1-RTTPurchase)*(1+BuyerPremium),(U33)/(1+BuyerPremium),MAX(0,((U33)-N(Deals!S33)-SheriffCostsFromBid)/(BuyerPremium+RTTPurchase)))))</f>
        <v/>
      </c>
      <c r="W33" s="31" t="str">
        <f aca="false">IF(A33="","",((V33)*(1+BuyerPremium)+IF(N(Deals!S33)=0,0,MIN(N(Deals!S33),MAX(0,N(Deals!S33)+SheriffCostsFromBid-(V33)*(1-RTTPurchase)))))+S33)</f>
        <v/>
      </c>
      <c r="X33" s="31" t="str">
        <f aca="false">IF(A33="","",T33-((V33)*(1+BuyerPremium)+IF(N(Deals!S33)=0,0,MIN(N(Deals!S33),MAX(0,N(Deals!S33)+SheriffCostsFromBid-(V33)*(1-RTTPurchase))))))</f>
        <v/>
      </c>
      <c r="Y33" s="32" t="str">
        <f aca="false">IF(A33="","",IFERROR(X33/W33/(M33/12),0))</f>
        <v/>
      </c>
      <c r="Z33" s="31" t="str">
        <f aca="false">IF(A33="","",N(Deals!N33)*12*(1-Vacancy)*(1-MgmtPct-MaintPct-CapexPct)-N(Deals!M33)*TaxRate-MAX(1,N(Deals!J33))*(InsPerUnit+WaterPerUnit)-N(Deals!T33)*12)</f>
        <v/>
      </c>
      <c r="AA33" s="31" t="str">
        <f aca="false">IF(A33="","",Q33+O33+P33*N33)</f>
        <v/>
      </c>
      <c r="AB33" s="31" t="str">
        <f aca="false">IF(A33="","",MAX(0,MIN(RefiLTV*N(Deals!M33),Z33/(RefiDSCR*12*PMT(RefiRate/12,RefiTerm*12,-1)))))</f>
        <v/>
      </c>
      <c r="AC33" s="31" t="str">
        <f aca="false">IF(A33="","",Z33-AB33*12*PMT(RefiRate/12,RefiTerm*12,-1))</f>
        <v/>
      </c>
      <c r="AD33" s="31" t="str">
        <f aca="false">IF(A33="","",IF(N(Deals!S33)=0,MAX(0,(Z33/HoldTarget-AA33)/(1+BuyerPremium)),IF((Z33/HoldTarget-AA33)&gt;=(N(Deals!S33)+SheriffCostsFromBid)/(1-RTTPurchase)*(1+BuyerPremium),(Z33/HoldTarget-AA33)/(1+BuyerPremium),MAX(0,((Z33/HoldTarget-AA33)-N(Deals!S33)-SheriffCostsFromBid)/(BuyerPremium+RTTPurchase)))))</f>
        <v/>
      </c>
      <c r="AE33" s="31" t="str">
        <f aca="false">IF(A33="","",IF(AC33&lt;=0,0,IF(N(Deals!S33)=0,MAX(0,(AC33/HoldTarget+AB33*(1-RefiCostPct)-AA33)/(1+BuyerPremium)),IF((AC33/HoldTarget+AB33*(1-RefiCostPct)-AA33)&gt;=(N(Deals!S33)+SheriffCostsFromBid)/(1-RTTPurchase)*(1+BuyerPremium),(AC33/HoldTarget+AB33*(1-RefiCostPct)-AA33)/(1+BuyerPremium),MAX(0,((AC33/HoldTarget+AB33*(1-RefiCostPct)-AA33)-N(Deals!S33)-SheriffCostsFromBid)/(BuyerPremium+RTTPurchase))))))</f>
        <v/>
      </c>
      <c r="AF33" s="31" t="str">
        <f aca="false">IF(A33="","",IF(HoldMeasure="Cash-on-cash",AE33,AD33))</f>
        <v/>
      </c>
      <c r="AG33" s="31" t="str">
        <f aca="false">IF(A33="","",((AF33)*(1+BuyerPremium)+IF(N(Deals!S33)=0,0,MIN(N(Deals!S33),MAX(0,N(Deals!S33)+SheriffCostsFromBid-(AF33)*(1-RTTPurchase)))))+AA33)</f>
        <v/>
      </c>
      <c r="AH33" s="32" t="str">
        <f aca="false">IF(A33="","",IFERROR(Z33/AG33,0))</f>
        <v/>
      </c>
      <c r="AI33" s="31" t="str">
        <f aca="false">IF(A33="","",AG33-AB33*(1-RefiCostPct))</f>
        <v/>
      </c>
      <c r="AJ33" s="32" t="str">
        <f aca="false">IF(A33="","",IF(AI33&lt;=0,"All cash out",AC33/AI33))</f>
        <v/>
      </c>
      <c r="AK33" s="31" t="str">
        <f aca="false">IF(A33="","",IF(N(Deals!S33)=0,MAX(0,(T33-BuyerMarginPct*N(Deals!M33)-WholesaleMinFee)/(1+BuyerPremium)),IF((T33-BuyerMarginPct*N(Deals!M33)-WholesaleMinFee)&gt;=(N(Deals!S33)+SheriffCostsFromBid)/(1-RTTPurchase)*(1+BuyerPremium),(T33-BuyerMarginPct*N(Deals!M33)-WholesaleMinFee)/(1+BuyerPremium),MAX(0,((T33-BuyerMarginPct*N(Deals!M33)-WholesaleMinFee)-N(Deals!S33)-SheriffCostsFromBid)/(BuyerPremium+RTTPurchase)))))</f>
        <v/>
      </c>
      <c r="AL33" s="31" t="str">
        <f aca="false">IF(OR(A33="",N(Deals!U33)=0),"",Deals!U33*N(Deals!W33))</f>
        <v/>
      </c>
      <c r="AM33" s="31" t="str">
        <f aca="false">IF(AL33="","",DemoCost+N(Deals!V33)*BuildCostPSF*(1+SoftCostPct)+P33*(DeedMonths+K33*EjectMonths+BuildMonths+SellMonths)+Q33+AL33*(BrokerPct+SellerRTT+SellClosingPct+ConcessionsPct))</f>
        <v/>
      </c>
      <c r="AN33" s="31" t="str">
        <f aca="false">IF(AL33="","",IF(N(Deals!S33)=0,MAX(0,(AL33-AM33-MAX(FlipTarget,DevMarginPct*AL33))/(1+BuyerPremium)),IF((AL33-AM33-MAX(FlipTarget,DevMarginPct*AL33))&gt;=(N(Deals!S33)+SheriffCostsFromBid)/(1-RTTPurchase)*(1+BuyerPremium),(AL33-AM33-MAX(FlipTarget,DevMarginPct*AL33))/(1+BuyerPremium),MAX(0,((AL33-AM33-MAX(FlipTarget,DevMarginPct*AL33))-N(Deals!S33)-SheriffCostsFromBid)/(BuyerPremium+RTTPurchase)))))</f>
        <v/>
      </c>
    </row>
    <row r="34" customFormat="false" ht="15" hidden="false" customHeight="true" outlineLevel="0" collapsed="false">
      <c r="A34" s="27" t="str">
        <f aca="false">IF(Deals!A34="","",Deals!A34)</f>
        <v/>
      </c>
      <c r="B34" s="1" t="str">
        <f aca="false">IF(A34="","",Deals!B34)</f>
        <v/>
      </c>
      <c r="C34" s="26" t="str">
        <f aca="false">IF(A34="","",IF(MAX(V34,AF34)&lt;=0,"Pass",IF(V34&gt;=AF34,"Flip","Value-add hold")))</f>
        <v/>
      </c>
      <c r="D34" s="28" t="str">
        <f aca="false">IF(A34="","",MAX(V34,AF34))</f>
        <v/>
      </c>
      <c r="E34" s="29" t="str">
        <f aca="false">IF(A34="","",IF(D34&lt;=0,"Pass",IF(N(Deals!D34)&lt;=1,"$1 = awaiting minimum bid; re-check the morning of Nov 3",IF(D34&lt;Deals!D34,"Max bid below opening bid: pass","Room of "&amp;TEXT(D34-Deals!D34,"$#,##0")&amp;" over opening bid"))))</f>
        <v/>
      </c>
      <c r="F34" s="28" t="str">
        <f aca="false">IF(A34="","",IF(C34="Flip",W34,IF(C34="Value-add hold",AG34,0)))</f>
        <v/>
      </c>
      <c r="G34" s="29" t="str">
        <f aca="false">IF(A34="","",IF(C34="Flip",TEXT(X34,"$#,##0")&amp;" profit, "&amp;TEXT(Y34,"0%")&amp;"/yr over "&amp;TEXT(M34,"0")&amp;" mo",IF(C34="Value-add hold",TEXT(AH34,"0.0%")&amp;" yield on cost; "&amp;IF(ISNUMBER(AJ34),TEXT(AJ34,"0.0%")&amp;" cash-on-cash after refi","all cash out at refi"),"")))</f>
        <v/>
      </c>
      <c r="H34" s="26" t="str">
        <f aca="false">IF(A34="","",IF(C34="Flip",IF(W34&lt;=FlipCeiling,"In $300k flip box","Over flip ceiling: needs to be exceptional"),IF(C34="Value-add hold","Value-add","")))</f>
        <v/>
      </c>
      <c r="I34" s="29" t="str">
        <f aca="false">IF(A34="","",TRIM(IF(AK34&gt;D34,"Wholesale assignment supports "&amp;TEXT(AK34,"$#,##0")&amp;". ","")&amp;IF(AND(ISNUMBER(AN34),N(AN34)&gt;D34),"Teardown/new units supports "&amp;TEXT(AN34,"$#,##0")&amp;".","")))</f>
        <v/>
      </c>
      <c r="J34" s="29" t="str">
        <f aca="false">IF(A34="","",TRIM(IF(Deals!F34="2nd","Plaintiff is 2nd: add senior mortgage to surviving liens. ",IF(Deals!F34&lt;&gt;"1st","Lien position unconfirmed. ",""))&amp;IF(N(Deals!M34)=0,"No ARV yet. ","")&amp;IF(N(Deals!G34)=0,"No building sf: rehab is allowance only. ","")&amp;IF(AND(N(Deals!S34)&gt;0,D34&gt;0,D34*(1-RTTPurchase)-SheriffCostsFromBid&lt;N(Deals!S34)),"City claims not fully paid at max bid; unpaid part is counted as cost. ","")&amp;IF(K34=1,"Occupancy assumed: +"&amp;TEXT(EjectMonths,"0")&amp;" mo and possession cost. ","")))</f>
        <v/>
      </c>
      <c r="K34" s="27" t="str">
        <f aca="false">IF(A34="","",IF(OR(Deals!Q34="Occupied",AND(Deals!Q34&lt;&gt;"Vacant",UnknownAsOccupied="Y")),1,0))</f>
        <v/>
      </c>
      <c r="L34" s="30" t="str">
        <f aca="false">IF(A34="","",IFERROR(INDEX(ScopeMonths,MATCH(Deals!O34,ScopeNames,0)),INDEX(ScopeMonths,3)))</f>
        <v/>
      </c>
      <c r="M34" s="30" t="str">
        <f aca="false">IF(A34="","",DeedMonths+K34*EjectMonths+L34+SellMonths)</f>
        <v/>
      </c>
      <c r="N34" s="30" t="str">
        <f aca="false">IF(A34="","",DeedMonths+K34*EjectMonths+L34+LeaseUpMonths)</f>
        <v/>
      </c>
      <c r="O34" s="31" t="str">
        <f aca="false">IF(A34="","",N(Deals!G34)*IFERROR(INDEX(ScopePSF,MATCH(Deals!O34,ScopeNames,0)),INDEX(ScopePSF,3))*(1+Contingency)+BlindAllowance+N(Deals!P34))</f>
        <v/>
      </c>
      <c r="P34" s="31" t="str">
        <f aca="false">IF(A34="","",IF(N(Deals!K34)&gt;0,Deals!K34,N(Deals!M34))*TaxRate/12+VacantInsMo+SecuringMo+UtilitiesMo+N(Deals!T34))</f>
        <v/>
      </c>
      <c r="Q34" s="31" t="str">
        <f aca="false">IF(A34="","",SheriffFees+PurchaseTitle+CompelDeedLegal+K34*PossessionCost+N(Deals!R34)+N(Deals!T34)*HOAArrearsMonths)</f>
        <v/>
      </c>
      <c r="R34" s="31" t="str">
        <f aca="false">IF(A34="","",N(Deals!M34)*(BrokerPct+SellerRTT+SellClosingPct+ConcessionsPct))</f>
        <v/>
      </c>
      <c r="S34" s="31" t="str">
        <f aca="false">IF(A34="","",Q34+O34+P34*M34)</f>
        <v/>
      </c>
      <c r="T34" s="31" t="str">
        <f aca="false">IF(A34="","",N(Deals!M34)-R34-S34)</f>
        <v/>
      </c>
      <c r="U34" s="31" t="str">
        <f aca="false">IF(A34="","",MIN(T34-FlipTarget,(T34-FlipMinAnnROI*M34/12*S34)/(1+FlipMinAnnROI*M34/12)))</f>
        <v/>
      </c>
      <c r="V34" s="31" t="str">
        <f aca="false">IF(A34="","",IF(N(Deals!S34)=0,MAX(0,(U34)/(1+BuyerPremium)),IF((U34)&gt;=(N(Deals!S34)+SheriffCostsFromBid)/(1-RTTPurchase)*(1+BuyerPremium),(U34)/(1+BuyerPremium),MAX(0,((U34)-N(Deals!S34)-SheriffCostsFromBid)/(BuyerPremium+RTTPurchase)))))</f>
        <v/>
      </c>
      <c r="W34" s="31" t="str">
        <f aca="false">IF(A34="","",((V34)*(1+BuyerPremium)+IF(N(Deals!S34)=0,0,MIN(N(Deals!S34),MAX(0,N(Deals!S34)+SheriffCostsFromBid-(V34)*(1-RTTPurchase)))))+S34)</f>
        <v/>
      </c>
      <c r="X34" s="31" t="str">
        <f aca="false">IF(A34="","",T34-((V34)*(1+BuyerPremium)+IF(N(Deals!S34)=0,0,MIN(N(Deals!S34),MAX(0,N(Deals!S34)+SheriffCostsFromBid-(V34)*(1-RTTPurchase))))))</f>
        <v/>
      </c>
      <c r="Y34" s="32" t="str">
        <f aca="false">IF(A34="","",IFERROR(X34/W34/(M34/12),0))</f>
        <v/>
      </c>
      <c r="Z34" s="31" t="str">
        <f aca="false">IF(A34="","",N(Deals!N34)*12*(1-Vacancy)*(1-MgmtPct-MaintPct-CapexPct)-N(Deals!M34)*TaxRate-MAX(1,N(Deals!J34))*(InsPerUnit+WaterPerUnit)-N(Deals!T34)*12)</f>
        <v/>
      </c>
      <c r="AA34" s="31" t="str">
        <f aca="false">IF(A34="","",Q34+O34+P34*N34)</f>
        <v/>
      </c>
      <c r="AB34" s="31" t="str">
        <f aca="false">IF(A34="","",MAX(0,MIN(RefiLTV*N(Deals!M34),Z34/(RefiDSCR*12*PMT(RefiRate/12,RefiTerm*12,-1)))))</f>
        <v/>
      </c>
      <c r="AC34" s="31" t="str">
        <f aca="false">IF(A34="","",Z34-AB34*12*PMT(RefiRate/12,RefiTerm*12,-1))</f>
        <v/>
      </c>
      <c r="AD34" s="31" t="str">
        <f aca="false">IF(A34="","",IF(N(Deals!S34)=0,MAX(0,(Z34/HoldTarget-AA34)/(1+BuyerPremium)),IF((Z34/HoldTarget-AA34)&gt;=(N(Deals!S34)+SheriffCostsFromBid)/(1-RTTPurchase)*(1+BuyerPremium),(Z34/HoldTarget-AA34)/(1+BuyerPremium),MAX(0,((Z34/HoldTarget-AA34)-N(Deals!S34)-SheriffCostsFromBid)/(BuyerPremium+RTTPurchase)))))</f>
        <v/>
      </c>
      <c r="AE34" s="31" t="str">
        <f aca="false">IF(A34="","",IF(AC34&lt;=0,0,IF(N(Deals!S34)=0,MAX(0,(AC34/HoldTarget+AB34*(1-RefiCostPct)-AA34)/(1+BuyerPremium)),IF((AC34/HoldTarget+AB34*(1-RefiCostPct)-AA34)&gt;=(N(Deals!S34)+SheriffCostsFromBid)/(1-RTTPurchase)*(1+BuyerPremium),(AC34/HoldTarget+AB34*(1-RefiCostPct)-AA34)/(1+BuyerPremium),MAX(0,((AC34/HoldTarget+AB34*(1-RefiCostPct)-AA34)-N(Deals!S34)-SheriffCostsFromBid)/(BuyerPremium+RTTPurchase))))))</f>
        <v/>
      </c>
      <c r="AF34" s="31" t="str">
        <f aca="false">IF(A34="","",IF(HoldMeasure="Cash-on-cash",AE34,AD34))</f>
        <v/>
      </c>
      <c r="AG34" s="31" t="str">
        <f aca="false">IF(A34="","",((AF34)*(1+BuyerPremium)+IF(N(Deals!S34)=0,0,MIN(N(Deals!S34),MAX(0,N(Deals!S34)+SheriffCostsFromBid-(AF34)*(1-RTTPurchase)))))+AA34)</f>
        <v/>
      </c>
      <c r="AH34" s="32" t="str">
        <f aca="false">IF(A34="","",IFERROR(Z34/AG34,0))</f>
        <v/>
      </c>
      <c r="AI34" s="31" t="str">
        <f aca="false">IF(A34="","",AG34-AB34*(1-RefiCostPct))</f>
        <v/>
      </c>
      <c r="AJ34" s="32" t="str">
        <f aca="false">IF(A34="","",IF(AI34&lt;=0,"All cash out",AC34/AI34))</f>
        <v/>
      </c>
      <c r="AK34" s="31" t="str">
        <f aca="false">IF(A34="","",IF(N(Deals!S34)=0,MAX(0,(T34-BuyerMarginPct*N(Deals!M34)-WholesaleMinFee)/(1+BuyerPremium)),IF((T34-BuyerMarginPct*N(Deals!M34)-WholesaleMinFee)&gt;=(N(Deals!S34)+SheriffCostsFromBid)/(1-RTTPurchase)*(1+BuyerPremium),(T34-BuyerMarginPct*N(Deals!M34)-WholesaleMinFee)/(1+BuyerPremium),MAX(0,((T34-BuyerMarginPct*N(Deals!M34)-WholesaleMinFee)-N(Deals!S34)-SheriffCostsFromBid)/(BuyerPremium+RTTPurchase)))))</f>
        <v/>
      </c>
      <c r="AL34" s="31" t="str">
        <f aca="false">IF(OR(A34="",N(Deals!U34)=0),"",Deals!U34*N(Deals!W34))</f>
        <v/>
      </c>
      <c r="AM34" s="31" t="str">
        <f aca="false">IF(AL34="","",DemoCost+N(Deals!V34)*BuildCostPSF*(1+SoftCostPct)+P34*(DeedMonths+K34*EjectMonths+BuildMonths+SellMonths)+Q34+AL34*(BrokerPct+SellerRTT+SellClosingPct+ConcessionsPct))</f>
        <v/>
      </c>
      <c r="AN34" s="31" t="str">
        <f aca="false">IF(AL34="","",IF(N(Deals!S34)=0,MAX(0,(AL34-AM34-MAX(FlipTarget,DevMarginPct*AL34))/(1+BuyerPremium)),IF((AL34-AM34-MAX(FlipTarget,DevMarginPct*AL34))&gt;=(N(Deals!S34)+SheriffCostsFromBid)/(1-RTTPurchase)*(1+BuyerPremium),(AL34-AM34-MAX(FlipTarget,DevMarginPct*AL34))/(1+BuyerPremium),MAX(0,((AL34-AM34-MAX(FlipTarget,DevMarginPct*AL34))-N(Deals!S34)-SheriffCostsFromBid)/(BuyerPremium+RTTPurchase)))))</f>
        <v/>
      </c>
    </row>
    <row r="35" customFormat="false" ht="15" hidden="false" customHeight="true" outlineLevel="0" collapsed="false">
      <c r="A35" s="27" t="str">
        <f aca="false">IF(Deals!A35="","",Deals!A35)</f>
        <v/>
      </c>
      <c r="B35" s="1" t="str">
        <f aca="false">IF(A35="","",Deals!B35)</f>
        <v/>
      </c>
      <c r="C35" s="26" t="str">
        <f aca="false">IF(A35="","",IF(MAX(V35,AF35)&lt;=0,"Pass",IF(V35&gt;=AF35,"Flip","Value-add hold")))</f>
        <v/>
      </c>
      <c r="D35" s="28" t="str">
        <f aca="false">IF(A35="","",MAX(V35,AF35))</f>
        <v/>
      </c>
      <c r="E35" s="29" t="str">
        <f aca="false">IF(A35="","",IF(D35&lt;=0,"Pass",IF(N(Deals!D35)&lt;=1,"$1 = awaiting minimum bid; re-check the morning of Nov 3",IF(D35&lt;Deals!D35,"Max bid below opening bid: pass","Room of "&amp;TEXT(D35-Deals!D35,"$#,##0")&amp;" over opening bid"))))</f>
        <v/>
      </c>
      <c r="F35" s="28" t="str">
        <f aca="false">IF(A35="","",IF(C35="Flip",W35,IF(C35="Value-add hold",AG35,0)))</f>
        <v/>
      </c>
      <c r="G35" s="29" t="str">
        <f aca="false">IF(A35="","",IF(C35="Flip",TEXT(X35,"$#,##0")&amp;" profit, "&amp;TEXT(Y35,"0%")&amp;"/yr over "&amp;TEXT(M35,"0")&amp;" mo",IF(C35="Value-add hold",TEXT(AH35,"0.0%")&amp;" yield on cost; "&amp;IF(ISNUMBER(AJ35),TEXT(AJ35,"0.0%")&amp;" cash-on-cash after refi","all cash out at refi"),"")))</f>
        <v/>
      </c>
      <c r="H35" s="26" t="str">
        <f aca="false">IF(A35="","",IF(C35="Flip",IF(W35&lt;=FlipCeiling,"In $300k flip box","Over flip ceiling: needs to be exceptional"),IF(C35="Value-add hold","Value-add","")))</f>
        <v/>
      </c>
      <c r="I35" s="29" t="str">
        <f aca="false">IF(A35="","",TRIM(IF(AK35&gt;D35,"Wholesale assignment supports "&amp;TEXT(AK35,"$#,##0")&amp;". ","")&amp;IF(AND(ISNUMBER(AN35),N(AN35)&gt;D35),"Teardown/new units supports "&amp;TEXT(AN35,"$#,##0")&amp;".","")))</f>
        <v/>
      </c>
      <c r="J35" s="29" t="str">
        <f aca="false">IF(A35="","",TRIM(IF(Deals!F35="2nd","Plaintiff is 2nd: add senior mortgage to surviving liens. ",IF(Deals!F35&lt;&gt;"1st","Lien position unconfirmed. ",""))&amp;IF(N(Deals!M35)=0,"No ARV yet. ","")&amp;IF(N(Deals!G35)=0,"No building sf: rehab is allowance only. ","")&amp;IF(AND(N(Deals!S35)&gt;0,D35&gt;0,D35*(1-RTTPurchase)-SheriffCostsFromBid&lt;N(Deals!S35)),"City claims not fully paid at max bid; unpaid part is counted as cost. ","")&amp;IF(K35=1,"Occupancy assumed: +"&amp;TEXT(EjectMonths,"0")&amp;" mo and possession cost. ","")))</f>
        <v/>
      </c>
      <c r="K35" s="27" t="str">
        <f aca="false">IF(A35="","",IF(OR(Deals!Q35="Occupied",AND(Deals!Q35&lt;&gt;"Vacant",UnknownAsOccupied="Y")),1,0))</f>
        <v/>
      </c>
      <c r="L35" s="30" t="str">
        <f aca="false">IF(A35="","",IFERROR(INDEX(ScopeMonths,MATCH(Deals!O35,ScopeNames,0)),INDEX(ScopeMonths,3)))</f>
        <v/>
      </c>
      <c r="M35" s="30" t="str">
        <f aca="false">IF(A35="","",DeedMonths+K35*EjectMonths+L35+SellMonths)</f>
        <v/>
      </c>
      <c r="N35" s="30" t="str">
        <f aca="false">IF(A35="","",DeedMonths+K35*EjectMonths+L35+LeaseUpMonths)</f>
        <v/>
      </c>
      <c r="O35" s="31" t="str">
        <f aca="false">IF(A35="","",N(Deals!G35)*IFERROR(INDEX(ScopePSF,MATCH(Deals!O35,ScopeNames,0)),INDEX(ScopePSF,3))*(1+Contingency)+BlindAllowance+N(Deals!P35))</f>
        <v/>
      </c>
      <c r="P35" s="31" t="str">
        <f aca="false">IF(A35="","",IF(N(Deals!K35)&gt;0,Deals!K35,N(Deals!M35))*TaxRate/12+VacantInsMo+SecuringMo+UtilitiesMo+N(Deals!T35))</f>
        <v/>
      </c>
      <c r="Q35" s="31" t="str">
        <f aca="false">IF(A35="","",SheriffFees+PurchaseTitle+CompelDeedLegal+K35*PossessionCost+N(Deals!R35)+N(Deals!T35)*HOAArrearsMonths)</f>
        <v/>
      </c>
      <c r="R35" s="31" t="str">
        <f aca="false">IF(A35="","",N(Deals!M35)*(BrokerPct+SellerRTT+SellClosingPct+ConcessionsPct))</f>
        <v/>
      </c>
      <c r="S35" s="31" t="str">
        <f aca="false">IF(A35="","",Q35+O35+P35*M35)</f>
        <v/>
      </c>
      <c r="T35" s="31" t="str">
        <f aca="false">IF(A35="","",N(Deals!M35)-R35-S35)</f>
        <v/>
      </c>
      <c r="U35" s="31" t="str">
        <f aca="false">IF(A35="","",MIN(T35-FlipTarget,(T35-FlipMinAnnROI*M35/12*S35)/(1+FlipMinAnnROI*M35/12)))</f>
        <v/>
      </c>
      <c r="V35" s="31" t="str">
        <f aca="false">IF(A35="","",IF(N(Deals!S35)=0,MAX(0,(U35)/(1+BuyerPremium)),IF((U35)&gt;=(N(Deals!S35)+SheriffCostsFromBid)/(1-RTTPurchase)*(1+BuyerPremium),(U35)/(1+BuyerPremium),MAX(0,((U35)-N(Deals!S35)-SheriffCostsFromBid)/(BuyerPremium+RTTPurchase)))))</f>
        <v/>
      </c>
      <c r="W35" s="31" t="str">
        <f aca="false">IF(A35="","",((V35)*(1+BuyerPremium)+IF(N(Deals!S35)=0,0,MIN(N(Deals!S35),MAX(0,N(Deals!S35)+SheriffCostsFromBid-(V35)*(1-RTTPurchase)))))+S35)</f>
        <v/>
      </c>
      <c r="X35" s="31" t="str">
        <f aca="false">IF(A35="","",T35-((V35)*(1+BuyerPremium)+IF(N(Deals!S35)=0,0,MIN(N(Deals!S35),MAX(0,N(Deals!S35)+SheriffCostsFromBid-(V35)*(1-RTTPurchase))))))</f>
        <v/>
      </c>
      <c r="Y35" s="32" t="str">
        <f aca="false">IF(A35="","",IFERROR(X35/W35/(M35/12),0))</f>
        <v/>
      </c>
      <c r="Z35" s="31" t="str">
        <f aca="false">IF(A35="","",N(Deals!N35)*12*(1-Vacancy)*(1-MgmtPct-MaintPct-CapexPct)-N(Deals!M35)*TaxRate-MAX(1,N(Deals!J35))*(InsPerUnit+WaterPerUnit)-N(Deals!T35)*12)</f>
        <v/>
      </c>
      <c r="AA35" s="31" t="str">
        <f aca="false">IF(A35="","",Q35+O35+P35*N35)</f>
        <v/>
      </c>
      <c r="AB35" s="31" t="str">
        <f aca="false">IF(A35="","",MAX(0,MIN(RefiLTV*N(Deals!M35),Z35/(RefiDSCR*12*PMT(RefiRate/12,RefiTerm*12,-1)))))</f>
        <v/>
      </c>
      <c r="AC35" s="31" t="str">
        <f aca="false">IF(A35="","",Z35-AB35*12*PMT(RefiRate/12,RefiTerm*12,-1))</f>
        <v/>
      </c>
      <c r="AD35" s="31" t="str">
        <f aca="false">IF(A35="","",IF(N(Deals!S35)=0,MAX(0,(Z35/HoldTarget-AA35)/(1+BuyerPremium)),IF((Z35/HoldTarget-AA35)&gt;=(N(Deals!S35)+SheriffCostsFromBid)/(1-RTTPurchase)*(1+BuyerPremium),(Z35/HoldTarget-AA35)/(1+BuyerPremium),MAX(0,((Z35/HoldTarget-AA35)-N(Deals!S35)-SheriffCostsFromBid)/(BuyerPremium+RTTPurchase)))))</f>
        <v/>
      </c>
      <c r="AE35" s="31" t="str">
        <f aca="false">IF(A35="","",IF(AC35&lt;=0,0,IF(N(Deals!S35)=0,MAX(0,(AC35/HoldTarget+AB35*(1-RefiCostPct)-AA35)/(1+BuyerPremium)),IF((AC35/HoldTarget+AB35*(1-RefiCostPct)-AA35)&gt;=(N(Deals!S35)+SheriffCostsFromBid)/(1-RTTPurchase)*(1+BuyerPremium),(AC35/HoldTarget+AB35*(1-RefiCostPct)-AA35)/(1+BuyerPremium),MAX(0,((AC35/HoldTarget+AB35*(1-RefiCostPct)-AA35)-N(Deals!S35)-SheriffCostsFromBid)/(BuyerPremium+RTTPurchase))))))</f>
        <v/>
      </c>
      <c r="AF35" s="31" t="str">
        <f aca="false">IF(A35="","",IF(HoldMeasure="Cash-on-cash",AE35,AD35))</f>
        <v/>
      </c>
      <c r="AG35" s="31" t="str">
        <f aca="false">IF(A35="","",((AF35)*(1+BuyerPremium)+IF(N(Deals!S35)=0,0,MIN(N(Deals!S35),MAX(0,N(Deals!S35)+SheriffCostsFromBid-(AF35)*(1-RTTPurchase)))))+AA35)</f>
        <v/>
      </c>
      <c r="AH35" s="32" t="str">
        <f aca="false">IF(A35="","",IFERROR(Z35/AG35,0))</f>
        <v/>
      </c>
      <c r="AI35" s="31" t="str">
        <f aca="false">IF(A35="","",AG35-AB35*(1-RefiCostPct))</f>
        <v/>
      </c>
      <c r="AJ35" s="32" t="str">
        <f aca="false">IF(A35="","",IF(AI35&lt;=0,"All cash out",AC35/AI35))</f>
        <v/>
      </c>
      <c r="AK35" s="31" t="str">
        <f aca="false">IF(A35="","",IF(N(Deals!S35)=0,MAX(0,(T35-BuyerMarginPct*N(Deals!M35)-WholesaleMinFee)/(1+BuyerPremium)),IF((T35-BuyerMarginPct*N(Deals!M35)-WholesaleMinFee)&gt;=(N(Deals!S35)+SheriffCostsFromBid)/(1-RTTPurchase)*(1+BuyerPremium),(T35-BuyerMarginPct*N(Deals!M35)-WholesaleMinFee)/(1+BuyerPremium),MAX(0,((T35-BuyerMarginPct*N(Deals!M35)-WholesaleMinFee)-N(Deals!S35)-SheriffCostsFromBid)/(BuyerPremium+RTTPurchase)))))</f>
        <v/>
      </c>
      <c r="AL35" s="31" t="str">
        <f aca="false">IF(OR(A35="",N(Deals!U35)=0),"",Deals!U35*N(Deals!W35))</f>
        <v/>
      </c>
      <c r="AM35" s="31" t="str">
        <f aca="false">IF(AL35="","",DemoCost+N(Deals!V35)*BuildCostPSF*(1+SoftCostPct)+P35*(DeedMonths+K35*EjectMonths+BuildMonths+SellMonths)+Q35+AL35*(BrokerPct+SellerRTT+SellClosingPct+ConcessionsPct))</f>
        <v/>
      </c>
      <c r="AN35" s="31" t="str">
        <f aca="false">IF(AL35="","",IF(N(Deals!S35)=0,MAX(0,(AL35-AM35-MAX(FlipTarget,DevMarginPct*AL35))/(1+BuyerPremium)),IF((AL35-AM35-MAX(FlipTarget,DevMarginPct*AL35))&gt;=(N(Deals!S35)+SheriffCostsFromBid)/(1-RTTPurchase)*(1+BuyerPremium),(AL35-AM35-MAX(FlipTarget,DevMarginPct*AL35))/(1+BuyerPremium),MAX(0,((AL35-AM35-MAX(FlipTarget,DevMarginPct*AL35))-N(Deals!S35)-SheriffCostsFromBid)/(BuyerPremium+RTTPurchase)))))</f>
        <v/>
      </c>
    </row>
    <row r="36" customFormat="false" ht="15" hidden="false" customHeight="true" outlineLevel="0" collapsed="false">
      <c r="A36" s="27" t="str">
        <f aca="false">IF(Deals!A36="","",Deals!A36)</f>
        <v/>
      </c>
      <c r="B36" s="1" t="str">
        <f aca="false">IF(A36="","",Deals!B36)</f>
        <v/>
      </c>
      <c r="C36" s="26" t="str">
        <f aca="false">IF(A36="","",IF(MAX(V36,AF36)&lt;=0,"Pass",IF(V36&gt;=AF36,"Flip","Value-add hold")))</f>
        <v/>
      </c>
      <c r="D36" s="28" t="str">
        <f aca="false">IF(A36="","",MAX(V36,AF36))</f>
        <v/>
      </c>
      <c r="E36" s="29" t="str">
        <f aca="false">IF(A36="","",IF(D36&lt;=0,"Pass",IF(N(Deals!D36)&lt;=1,"$1 = awaiting minimum bid; re-check the morning of Nov 3",IF(D36&lt;Deals!D36,"Max bid below opening bid: pass","Room of "&amp;TEXT(D36-Deals!D36,"$#,##0")&amp;" over opening bid"))))</f>
        <v/>
      </c>
      <c r="F36" s="28" t="str">
        <f aca="false">IF(A36="","",IF(C36="Flip",W36,IF(C36="Value-add hold",AG36,0)))</f>
        <v/>
      </c>
      <c r="G36" s="29" t="str">
        <f aca="false">IF(A36="","",IF(C36="Flip",TEXT(X36,"$#,##0")&amp;" profit, "&amp;TEXT(Y36,"0%")&amp;"/yr over "&amp;TEXT(M36,"0")&amp;" mo",IF(C36="Value-add hold",TEXT(AH36,"0.0%")&amp;" yield on cost; "&amp;IF(ISNUMBER(AJ36),TEXT(AJ36,"0.0%")&amp;" cash-on-cash after refi","all cash out at refi"),"")))</f>
        <v/>
      </c>
      <c r="H36" s="26" t="str">
        <f aca="false">IF(A36="","",IF(C36="Flip",IF(W36&lt;=FlipCeiling,"In $300k flip box","Over flip ceiling: needs to be exceptional"),IF(C36="Value-add hold","Value-add","")))</f>
        <v/>
      </c>
      <c r="I36" s="29" t="str">
        <f aca="false">IF(A36="","",TRIM(IF(AK36&gt;D36,"Wholesale assignment supports "&amp;TEXT(AK36,"$#,##0")&amp;". ","")&amp;IF(AND(ISNUMBER(AN36),N(AN36)&gt;D36),"Teardown/new units supports "&amp;TEXT(AN36,"$#,##0")&amp;".","")))</f>
        <v/>
      </c>
      <c r="J36" s="29" t="str">
        <f aca="false">IF(A36="","",TRIM(IF(Deals!F36="2nd","Plaintiff is 2nd: add senior mortgage to surviving liens. ",IF(Deals!F36&lt;&gt;"1st","Lien position unconfirmed. ",""))&amp;IF(N(Deals!M36)=0,"No ARV yet. ","")&amp;IF(N(Deals!G36)=0,"No building sf: rehab is allowance only. ","")&amp;IF(AND(N(Deals!S36)&gt;0,D36&gt;0,D36*(1-RTTPurchase)-SheriffCostsFromBid&lt;N(Deals!S36)),"City claims not fully paid at max bid; unpaid part is counted as cost. ","")&amp;IF(K36=1,"Occupancy assumed: +"&amp;TEXT(EjectMonths,"0")&amp;" mo and possession cost. ","")))</f>
        <v/>
      </c>
      <c r="K36" s="27" t="str">
        <f aca="false">IF(A36="","",IF(OR(Deals!Q36="Occupied",AND(Deals!Q36&lt;&gt;"Vacant",UnknownAsOccupied="Y")),1,0))</f>
        <v/>
      </c>
      <c r="L36" s="30" t="str">
        <f aca="false">IF(A36="","",IFERROR(INDEX(ScopeMonths,MATCH(Deals!O36,ScopeNames,0)),INDEX(ScopeMonths,3)))</f>
        <v/>
      </c>
      <c r="M36" s="30" t="str">
        <f aca="false">IF(A36="","",DeedMonths+K36*EjectMonths+L36+SellMonths)</f>
        <v/>
      </c>
      <c r="N36" s="30" t="str">
        <f aca="false">IF(A36="","",DeedMonths+K36*EjectMonths+L36+LeaseUpMonths)</f>
        <v/>
      </c>
      <c r="O36" s="31" t="str">
        <f aca="false">IF(A36="","",N(Deals!G36)*IFERROR(INDEX(ScopePSF,MATCH(Deals!O36,ScopeNames,0)),INDEX(ScopePSF,3))*(1+Contingency)+BlindAllowance+N(Deals!P36))</f>
        <v/>
      </c>
      <c r="P36" s="31" t="str">
        <f aca="false">IF(A36="","",IF(N(Deals!K36)&gt;0,Deals!K36,N(Deals!M36))*TaxRate/12+VacantInsMo+SecuringMo+UtilitiesMo+N(Deals!T36))</f>
        <v/>
      </c>
      <c r="Q36" s="31" t="str">
        <f aca="false">IF(A36="","",SheriffFees+PurchaseTitle+CompelDeedLegal+K36*PossessionCost+N(Deals!R36)+N(Deals!T36)*HOAArrearsMonths)</f>
        <v/>
      </c>
      <c r="R36" s="31" t="str">
        <f aca="false">IF(A36="","",N(Deals!M36)*(BrokerPct+SellerRTT+SellClosingPct+ConcessionsPct))</f>
        <v/>
      </c>
      <c r="S36" s="31" t="str">
        <f aca="false">IF(A36="","",Q36+O36+P36*M36)</f>
        <v/>
      </c>
      <c r="T36" s="31" t="str">
        <f aca="false">IF(A36="","",N(Deals!M36)-R36-S36)</f>
        <v/>
      </c>
      <c r="U36" s="31" t="str">
        <f aca="false">IF(A36="","",MIN(T36-FlipTarget,(T36-FlipMinAnnROI*M36/12*S36)/(1+FlipMinAnnROI*M36/12)))</f>
        <v/>
      </c>
      <c r="V36" s="31" t="str">
        <f aca="false">IF(A36="","",IF(N(Deals!S36)=0,MAX(0,(U36)/(1+BuyerPremium)),IF((U36)&gt;=(N(Deals!S36)+SheriffCostsFromBid)/(1-RTTPurchase)*(1+BuyerPremium),(U36)/(1+BuyerPremium),MAX(0,((U36)-N(Deals!S36)-SheriffCostsFromBid)/(BuyerPremium+RTTPurchase)))))</f>
        <v/>
      </c>
      <c r="W36" s="31" t="str">
        <f aca="false">IF(A36="","",((V36)*(1+BuyerPremium)+IF(N(Deals!S36)=0,0,MIN(N(Deals!S36),MAX(0,N(Deals!S36)+SheriffCostsFromBid-(V36)*(1-RTTPurchase)))))+S36)</f>
        <v/>
      </c>
      <c r="X36" s="31" t="str">
        <f aca="false">IF(A36="","",T36-((V36)*(1+BuyerPremium)+IF(N(Deals!S36)=0,0,MIN(N(Deals!S36),MAX(0,N(Deals!S36)+SheriffCostsFromBid-(V36)*(1-RTTPurchase))))))</f>
        <v/>
      </c>
      <c r="Y36" s="32" t="str">
        <f aca="false">IF(A36="","",IFERROR(X36/W36/(M36/12),0))</f>
        <v/>
      </c>
      <c r="Z36" s="31" t="str">
        <f aca="false">IF(A36="","",N(Deals!N36)*12*(1-Vacancy)*(1-MgmtPct-MaintPct-CapexPct)-N(Deals!M36)*TaxRate-MAX(1,N(Deals!J36))*(InsPerUnit+WaterPerUnit)-N(Deals!T36)*12)</f>
        <v/>
      </c>
      <c r="AA36" s="31" t="str">
        <f aca="false">IF(A36="","",Q36+O36+P36*N36)</f>
        <v/>
      </c>
      <c r="AB36" s="31" t="str">
        <f aca="false">IF(A36="","",MAX(0,MIN(RefiLTV*N(Deals!M36),Z36/(RefiDSCR*12*PMT(RefiRate/12,RefiTerm*12,-1)))))</f>
        <v/>
      </c>
      <c r="AC36" s="31" t="str">
        <f aca="false">IF(A36="","",Z36-AB36*12*PMT(RefiRate/12,RefiTerm*12,-1))</f>
        <v/>
      </c>
      <c r="AD36" s="31" t="str">
        <f aca="false">IF(A36="","",IF(N(Deals!S36)=0,MAX(0,(Z36/HoldTarget-AA36)/(1+BuyerPremium)),IF((Z36/HoldTarget-AA36)&gt;=(N(Deals!S36)+SheriffCostsFromBid)/(1-RTTPurchase)*(1+BuyerPremium),(Z36/HoldTarget-AA36)/(1+BuyerPremium),MAX(0,((Z36/HoldTarget-AA36)-N(Deals!S36)-SheriffCostsFromBid)/(BuyerPremium+RTTPurchase)))))</f>
        <v/>
      </c>
      <c r="AE36" s="31" t="str">
        <f aca="false">IF(A36="","",IF(AC36&lt;=0,0,IF(N(Deals!S36)=0,MAX(0,(AC36/HoldTarget+AB36*(1-RefiCostPct)-AA36)/(1+BuyerPremium)),IF((AC36/HoldTarget+AB36*(1-RefiCostPct)-AA36)&gt;=(N(Deals!S36)+SheriffCostsFromBid)/(1-RTTPurchase)*(1+BuyerPremium),(AC36/HoldTarget+AB36*(1-RefiCostPct)-AA36)/(1+BuyerPremium),MAX(0,((AC36/HoldTarget+AB36*(1-RefiCostPct)-AA36)-N(Deals!S36)-SheriffCostsFromBid)/(BuyerPremium+RTTPurchase))))))</f>
        <v/>
      </c>
      <c r="AF36" s="31" t="str">
        <f aca="false">IF(A36="","",IF(HoldMeasure="Cash-on-cash",AE36,AD36))</f>
        <v/>
      </c>
      <c r="AG36" s="31" t="str">
        <f aca="false">IF(A36="","",((AF36)*(1+BuyerPremium)+IF(N(Deals!S36)=0,0,MIN(N(Deals!S36),MAX(0,N(Deals!S36)+SheriffCostsFromBid-(AF36)*(1-RTTPurchase)))))+AA36)</f>
        <v/>
      </c>
      <c r="AH36" s="32" t="str">
        <f aca="false">IF(A36="","",IFERROR(Z36/AG36,0))</f>
        <v/>
      </c>
      <c r="AI36" s="31" t="str">
        <f aca="false">IF(A36="","",AG36-AB36*(1-RefiCostPct))</f>
        <v/>
      </c>
      <c r="AJ36" s="32" t="str">
        <f aca="false">IF(A36="","",IF(AI36&lt;=0,"All cash out",AC36/AI36))</f>
        <v/>
      </c>
      <c r="AK36" s="31" t="str">
        <f aca="false">IF(A36="","",IF(N(Deals!S36)=0,MAX(0,(T36-BuyerMarginPct*N(Deals!M36)-WholesaleMinFee)/(1+BuyerPremium)),IF((T36-BuyerMarginPct*N(Deals!M36)-WholesaleMinFee)&gt;=(N(Deals!S36)+SheriffCostsFromBid)/(1-RTTPurchase)*(1+BuyerPremium),(T36-BuyerMarginPct*N(Deals!M36)-WholesaleMinFee)/(1+BuyerPremium),MAX(0,((T36-BuyerMarginPct*N(Deals!M36)-WholesaleMinFee)-N(Deals!S36)-SheriffCostsFromBid)/(BuyerPremium+RTTPurchase)))))</f>
        <v/>
      </c>
      <c r="AL36" s="31" t="str">
        <f aca="false">IF(OR(A36="",N(Deals!U36)=0),"",Deals!U36*N(Deals!W36))</f>
        <v/>
      </c>
      <c r="AM36" s="31" t="str">
        <f aca="false">IF(AL36="","",DemoCost+N(Deals!V36)*BuildCostPSF*(1+SoftCostPct)+P36*(DeedMonths+K36*EjectMonths+BuildMonths+SellMonths)+Q36+AL36*(BrokerPct+SellerRTT+SellClosingPct+ConcessionsPct))</f>
        <v/>
      </c>
      <c r="AN36" s="31" t="str">
        <f aca="false">IF(AL36="","",IF(N(Deals!S36)=0,MAX(0,(AL36-AM36-MAX(FlipTarget,DevMarginPct*AL36))/(1+BuyerPremium)),IF((AL36-AM36-MAX(FlipTarget,DevMarginPct*AL36))&gt;=(N(Deals!S36)+SheriffCostsFromBid)/(1-RTTPurchase)*(1+BuyerPremium),(AL36-AM36-MAX(FlipTarget,DevMarginPct*AL36))/(1+BuyerPremium),MAX(0,((AL36-AM36-MAX(FlipTarget,DevMarginPct*AL36))-N(Deals!S36)-SheriffCostsFromBid)/(BuyerPremium+RTTPurchase)))))</f>
        <v/>
      </c>
    </row>
    <row r="37" customFormat="false" ht="15" hidden="false" customHeight="true" outlineLevel="0" collapsed="false">
      <c r="A37" s="27" t="str">
        <f aca="false">IF(Deals!A37="","",Deals!A37)</f>
        <v/>
      </c>
      <c r="B37" s="1" t="str">
        <f aca="false">IF(A37="","",Deals!B37)</f>
        <v/>
      </c>
      <c r="C37" s="26" t="str">
        <f aca="false">IF(A37="","",IF(MAX(V37,AF37)&lt;=0,"Pass",IF(V37&gt;=AF37,"Flip","Value-add hold")))</f>
        <v/>
      </c>
      <c r="D37" s="28" t="str">
        <f aca="false">IF(A37="","",MAX(V37,AF37))</f>
        <v/>
      </c>
      <c r="E37" s="29" t="str">
        <f aca="false">IF(A37="","",IF(D37&lt;=0,"Pass",IF(N(Deals!D37)&lt;=1,"$1 = awaiting minimum bid; re-check the morning of Nov 3",IF(D37&lt;Deals!D37,"Max bid below opening bid: pass","Room of "&amp;TEXT(D37-Deals!D37,"$#,##0")&amp;" over opening bid"))))</f>
        <v/>
      </c>
      <c r="F37" s="28" t="str">
        <f aca="false">IF(A37="","",IF(C37="Flip",W37,IF(C37="Value-add hold",AG37,0)))</f>
        <v/>
      </c>
      <c r="G37" s="29" t="str">
        <f aca="false">IF(A37="","",IF(C37="Flip",TEXT(X37,"$#,##0")&amp;" profit, "&amp;TEXT(Y37,"0%")&amp;"/yr over "&amp;TEXT(M37,"0")&amp;" mo",IF(C37="Value-add hold",TEXT(AH37,"0.0%")&amp;" yield on cost; "&amp;IF(ISNUMBER(AJ37),TEXT(AJ37,"0.0%")&amp;" cash-on-cash after refi","all cash out at refi"),"")))</f>
        <v/>
      </c>
      <c r="H37" s="26" t="str">
        <f aca="false">IF(A37="","",IF(C37="Flip",IF(W37&lt;=FlipCeiling,"In $300k flip box","Over flip ceiling: needs to be exceptional"),IF(C37="Value-add hold","Value-add","")))</f>
        <v/>
      </c>
      <c r="I37" s="29" t="str">
        <f aca="false">IF(A37="","",TRIM(IF(AK37&gt;D37,"Wholesale assignment supports "&amp;TEXT(AK37,"$#,##0")&amp;". ","")&amp;IF(AND(ISNUMBER(AN37),N(AN37)&gt;D37),"Teardown/new units supports "&amp;TEXT(AN37,"$#,##0")&amp;".","")))</f>
        <v/>
      </c>
      <c r="J37" s="29" t="str">
        <f aca="false">IF(A37="","",TRIM(IF(Deals!F37="2nd","Plaintiff is 2nd: add senior mortgage to surviving liens. ",IF(Deals!F37&lt;&gt;"1st","Lien position unconfirmed. ",""))&amp;IF(N(Deals!M37)=0,"No ARV yet. ","")&amp;IF(N(Deals!G37)=0,"No building sf: rehab is allowance only. ","")&amp;IF(AND(N(Deals!S37)&gt;0,D37&gt;0,D37*(1-RTTPurchase)-SheriffCostsFromBid&lt;N(Deals!S37)),"City claims not fully paid at max bid; unpaid part is counted as cost. ","")&amp;IF(K37=1,"Occupancy assumed: +"&amp;TEXT(EjectMonths,"0")&amp;" mo and possession cost. ","")))</f>
        <v/>
      </c>
      <c r="K37" s="27" t="str">
        <f aca="false">IF(A37="","",IF(OR(Deals!Q37="Occupied",AND(Deals!Q37&lt;&gt;"Vacant",UnknownAsOccupied="Y")),1,0))</f>
        <v/>
      </c>
      <c r="L37" s="30" t="str">
        <f aca="false">IF(A37="","",IFERROR(INDEX(ScopeMonths,MATCH(Deals!O37,ScopeNames,0)),INDEX(ScopeMonths,3)))</f>
        <v/>
      </c>
      <c r="M37" s="30" t="str">
        <f aca="false">IF(A37="","",DeedMonths+K37*EjectMonths+L37+SellMonths)</f>
        <v/>
      </c>
      <c r="N37" s="30" t="str">
        <f aca="false">IF(A37="","",DeedMonths+K37*EjectMonths+L37+LeaseUpMonths)</f>
        <v/>
      </c>
      <c r="O37" s="31" t="str">
        <f aca="false">IF(A37="","",N(Deals!G37)*IFERROR(INDEX(ScopePSF,MATCH(Deals!O37,ScopeNames,0)),INDEX(ScopePSF,3))*(1+Contingency)+BlindAllowance+N(Deals!P37))</f>
        <v/>
      </c>
      <c r="P37" s="31" t="str">
        <f aca="false">IF(A37="","",IF(N(Deals!K37)&gt;0,Deals!K37,N(Deals!M37))*TaxRate/12+VacantInsMo+SecuringMo+UtilitiesMo+N(Deals!T37))</f>
        <v/>
      </c>
      <c r="Q37" s="31" t="str">
        <f aca="false">IF(A37="","",SheriffFees+PurchaseTitle+CompelDeedLegal+K37*PossessionCost+N(Deals!R37)+N(Deals!T37)*HOAArrearsMonths)</f>
        <v/>
      </c>
      <c r="R37" s="31" t="str">
        <f aca="false">IF(A37="","",N(Deals!M37)*(BrokerPct+SellerRTT+SellClosingPct+ConcessionsPct))</f>
        <v/>
      </c>
      <c r="S37" s="31" t="str">
        <f aca="false">IF(A37="","",Q37+O37+P37*M37)</f>
        <v/>
      </c>
      <c r="T37" s="31" t="str">
        <f aca="false">IF(A37="","",N(Deals!M37)-R37-S37)</f>
        <v/>
      </c>
      <c r="U37" s="31" t="str">
        <f aca="false">IF(A37="","",MIN(T37-FlipTarget,(T37-FlipMinAnnROI*M37/12*S37)/(1+FlipMinAnnROI*M37/12)))</f>
        <v/>
      </c>
      <c r="V37" s="31" t="str">
        <f aca="false">IF(A37="","",IF(N(Deals!S37)=0,MAX(0,(U37)/(1+BuyerPremium)),IF((U37)&gt;=(N(Deals!S37)+SheriffCostsFromBid)/(1-RTTPurchase)*(1+BuyerPremium),(U37)/(1+BuyerPremium),MAX(0,((U37)-N(Deals!S37)-SheriffCostsFromBid)/(BuyerPremium+RTTPurchase)))))</f>
        <v/>
      </c>
      <c r="W37" s="31" t="str">
        <f aca="false">IF(A37="","",((V37)*(1+BuyerPremium)+IF(N(Deals!S37)=0,0,MIN(N(Deals!S37),MAX(0,N(Deals!S37)+SheriffCostsFromBid-(V37)*(1-RTTPurchase)))))+S37)</f>
        <v/>
      </c>
      <c r="X37" s="31" t="str">
        <f aca="false">IF(A37="","",T37-((V37)*(1+BuyerPremium)+IF(N(Deals!S37)=0,0,MIN(N(Deals!S37),MAX(0,N(Deals!S37)+SheriffCostsFromBid-(V37)*(1-RTTPurchase))))))</f>
        <v/>
      </c>
      <c r="Y37" s="32" t="str">
        <f aca="false">IF(A37="","",IFERROR(X37/W37/(M37/12),0))</f>
        <v/>
      </c>
      <c r="Z37" s="31" t="str">
        <f aca="false">IF(A37="","",N(Deals!N37)*12*(1-Vacancy)*(1-MgmtPct-MaintPct-CapexPct)-N(Deals!M37)*TaxRate-MAX(1,N(Deals!J37))*(InsPerUnit+WaterPerUnit)-N(Deals!T37)*12)</f>
        <v/>
      </c>
      <c r="AA37" s="31" t="str">
        <f aca="false">IF(A37="","",Q37+O37+P37*N37)</f>
        <v/>
      </c>
      <c r="AB37" s="31" t="str">
        <f aca="false">IF(A37="","",MAX(0,MIN(RefiLTV*N(Deals!M37),Z37/(RefiDSCR*12*PMT(RefiRate/12,RefiTerm*12,-1)))))</f>
        <v/>
      </c>
      <c r="AC37" s="31" t="str">
        <f aca="false">IF(A37="","",Z37-AB37*12*PMT(RefiRate/12,RefiTerm*12,-1))</f>
        <v/>
      </c>
      <c r="AD37" s="31" t="str">
        <f aca="false">IF(A37="","",IF(N(Deals!S37)=0,MAX(0,(Z37/HoldTarget-AA37)/(1+BuyerPremium)),IF((Z37/HoldTarget-AA37)&gt;=(N(Deals!S37)+SheriffCostsFromBid)/(1-RTTPurchase)*(1+BuyerPremium),(Z37/HoldTarget-AA37)/(1+BuyerPremium),MAX(0,((Z37/HoldTarget-AA37)-N(Deals!S37)-SheriffCostsFromBid)/(BuyerPremium+RTTPurchase)))))</f>
        <v/>
      </c>
      <c r="AE37" s="31" t="str">
        <f aca="false">IF(A37="","",IF(AC37&lt;=0,0,IF(N(Deals!S37)=0,MAX(0,(AC37/HoldTarget+AB37*(1-RefiCostPct)-AA37)/(1+BuyerPremium)),IF((AC37/HoldTarget+AB37*(1-RefiCostPct)-AA37)&gt;=(N(Deals!S37)+SheriffCostsFromBid)/(1-RTTPurchase)*(1+BuyerPremium),(AC37/HoldTarget+AB37*(1-RefiCostPct)-AA37)/(1+BuyerPremium),MAX(0,((AC37/HoldTarget+AB37*(1-RefiCostPct)-AA37)-N(Deals!S37)-SheriffCostsFromBid)/(BuyerPremium+RTTPurchase))))))</f>
        <v/>
      </c>
      <c r="AF37" s="31" t="str">
        <f aca="false">IF(A37="","",IF(HoldMeasure="Cash-on-cash",AE37,AD37))</f>
        <v/>
      </c>
      <c r="AG37" s="31" t="str">
        <f aca="false">IF(A37="","",((AF37)*(1+BuyerPremium)+IF(N(Deals!S37)=0,0,MIN(N(Deals!S37),MAX(0,N(Deals!S37)+SheriffCostsFromBid-(AF37)*(1-RTTPurchase)))))+AA37)</f>
        <v/>
      </c>
      <c r="AH37" s="32" t="str">
        <f aca="false">IF(A37="","",IFERROR(Z37/AG37,0))</f>
        <v/>
      </c>
      <c r="AI37" s="31" t="str">
        <f aca="false">IF(A37="","",AG37-AB37*(1-RefiCostPct))</f>
        <v/>
      </c>
      <c r="AJ37" s="32" t="str">
        <f aca="false">IF(A37="","",IF(AI37&lt;=0,"All cash out",AC37/AI37))</f>
        <v/>
      </c>
      <c r="AK37" s="31" t="str">
        <f aca="false">IF(A37="","",IF(N(Deals!S37)=0,MAX(0,(T37-BuyerMarginPct*N(Deals!M37)-WholesaleMinFee)/(1+BuyerPremium)),IF((T37-BuyerMarginPct*N(Deals!M37)-WholesaleMinFee)&gt;=(N(Deals!S37)+SheriffCostsFromBid)/(1-RTTPurchase)*(1+BuyerPremium),(T37-BuyerMarginPct*N(Deals!M37)-WholesaleMinFee)/(1+BuyerPremium),MAX(0,((T37-BuyerMarginPct*N(Deals!M37)-WholesaleMinFee)-N(Deals!S37)-SheriffCostsFromBid)/(BuyerPremium+RTTPurchase)))))</f>
        <v/>
      </c>
      <c r="AL37" s="31" t="str">
        <f aca="false">IF(OR(A37="",N(Deals!U37)=0),"",Deals!U37*N(Deals!W37))</f>
        <v/>
      </c>
      <c r="AM37" s="31" t="str">
        <f aca="false">IF(AL37="","",DemoCost+N(Deals!V37)*BuildCostPSF*(1+SoftCostPct)+P37*(DeedMonths+K37*EjectMonths+BuildMonths+SellMonths)+Q37+AL37*(BrokerPct+SellerRTT+SellClosingPct+ConcessionsPct))</f>
        <v/>
      </c>
      <c r="AN37" s="31" t="str">
        <f aca="false">IF(AL37="","",IF(N(Deals!S37)=0,MAX(0,(AL37-AM37-MAX(FlipTarget,DevMarginPct*AL37))/(1+BuyerPremium)),IF((AL37-AM37-MAX(FlipTarget,DevMarginPct*AL37))&gt;=(N(Deals!S37)+SheriffCostsFromBid)/(1-RTTPurchase)*(1+BuyerPremium),(AL37-AM37-MAX(FlipTarget,DevMarginPct*AL37))/(1+BuyerPremium),MAX(0,((AL37-AM37-MAX(FlipTarget,DevMarginPct*AL37))-N(Deals!S37)-SheriffCostsFromBid)/(BuyerPremium+RTTPurchase)))))</f>
        <v/>
      </c>
    </row>
    <row r="38" customFormat="false" ht="15" hidden="false" customHeight="true" outlineLevel="0" collapsed="false">
      <c r="A38" s="27" t="str">
        <f aca="false">IF(Deals!A38="","",Deals!A38)</f>
        <v/>
      </c>
      <c r="B38" s="1" t="str">
        <f aca="false">IF(A38="","",Deals!B38)</f>
        <v/>
      </c>
      <c r="C38" s="26" t="str">
        <f aca="false">IF(A38="","",IF(MAX(V38,AF38)&lt;=0,"Pass",IF(V38&gt;=AF38,"Flip","Value-add hold")))</f>
        <v/>
      </c>
      <c r="D38" s="28" t="str">
        <f aca="false">IF(A38="","",MAX(V38,AF38))</f>
        <v/>
      </c>
      <c r="E38" s="29" t="str">
        <f aca="false">IF(A38="","",IF(D38&lt;=0,"Pass",IF(N(Deals!D38)&lt;=1,"$1 = awaiting minimum bid; re-check the morning of Nov 3",IF(D38&lt;Deals!D38,"Max bid below opening bid: pass","Room of "&amp;TEXT(D38-Deals!D38,"$#,##0")&amp;" over opening bid"))))</f>
        <v/>
      </c>
      <c r="F38" s="28" t="str">
        <f aca="false">IF(A38="","",IF(C38="Flip",W38,IF(C38="Value-add hold",AG38,0)))</f>
        <v/>
      </c>
      <c r="G38" s="29" t="str">
        <f aca="false">IF(A38="","",IF(C38="Flip",TEXT(X38,"$#,##0")&amp;" profit, "&amp;TEXT(Y38,"0%")&amp;"/yr over "&amp;TEXT(M38,"0")&amp;" mo",IF(C38="Value-add hold",TEXT(AH38,"0.0%")&amp;" yield on cost; "&amp;IF(ISNUMBER(AJ38),TEXT(AJ38,"0.0%")&amp;" cash-on-cash after refi","all cash out at refi"),"")))</f>
        <v/>
      </c>
      <c r="H38" s="26" t="str">
        <f aca="false">IF(A38="","",IF(C38="Flip",IF(W38&lt;=FlipCeiling,"In $300k flip box","Over flip ceiling: needs to be exceptional"),IF(C38="Value-add hold","Value-add","")))</f>
        <v/>
      </c>
      <c r="I38" s="29" t="str">
        <f aca="false">IF(A38="","",TRIM(IF(AK38&gt;D38,"Wholesale assignment supports "&amp;TEXT(AK38,"$#,##0")&amp;". ","")&amp;IF(AND(ISNUMBER(AN38),N(AN38)&gt;D38),"Teardown/new units supports "&amp;TEXT(AN38,"$#,##0")&amp;".","")))</f>
        <v/>
      </c>
      <c r="J38" s="29" t="str">
        <f aca="false">IF(A38="","",TRIM(IF(Deals!F38="2nd","Plaintiff is 2nd: add senior mortgage to surviving liens. ",IF(Deals!F38&lt;&gt;"1st","Lien position unconfirmed. ",""))&amp;IF(N(Deals!M38)=0,"No ARV yet. ","")&amp;IF(N(Deals!G38)=0,"No building sf: rehab is allowance only. ","")&amp;IF(AND(N(Deals!S38)&gt;0,D38&gt;0,D38*(1-RTTPurchase)-SheriffCostsFromBid&lt;N(Deals!S38)),"City claims not fully paid at max bid; unpaid part is counted as cost. ","")&amp;IF(K38=1,"Occupancy assumed: +"&amp;TEXT(EjectMonths,"0")&amp;" mo and possession cost. ","")))</f>
        <v/>
      </c>
      <c r="K38" s="27" t="str">
        <f aca="false">IF(A38="","",IF(OR(Deals!Q38="Occupied",AND(Deals!Q38&lt;&gt;"Vacant",UnknownAsOccupied="Y")),1,0))</f>
        <v/>
      </c>
      <c r="L38" s="30" t="str">
        <f aca="false">IF(A38="","",IFERROR(INDEX(ScopeMonths,MATCH(Deals!O38,ScopeNames,0)),INDEX(ScopeMonths,3)))</f>
        <v/>
      </c>
      <c r="M38" s="30" t="str">
        <f aca="false">IF(A38="","",DeedMonths+K38*EjectMonths+L38+SellMonths)</f>
        <v/>
      </c>
      <c r="N38" s="30" t="str">
        <f aca="false">IF(A38="","",DeedMonths+K38*EjectMonths+L38+LeaseUpMonths)</f>
        <v/>
      </c>
      <c r="O38" s="31" t="str">
        <f aca="false">IF(A38="","",N(Deals!G38)*IFERROR(INDEX(ScopePSF,MATCH(Deals!O38,ScopeNames,0)),INDEX(ScopePSF,3))*(1+Contingency)+BlindAllowance+N(Deals!P38))</f>
        <v/>
      </c>
      <c r="P38" s="31" t="str">
        <f aca="false">IF(A38="","",IF(N(Deals!K38)&gt;0,Deals!K38,N(Deals!M38))*TaxRate/12+VacantInsMo+SecuringMo+UtilitiesMo+N(Deals!T38))</f>
        <v/>
      </c>
      <c r="Q38" s="31" t="str">
        <f aca="false">IF(A38="","",SheriffFees+PurchaseTitle+CompelDeedLegal+K38*PossessionCost+N(Deals!R38)+N(Deals!T38)*HOAArrearsMonths)</f>
        <v/>
      </c>
      <c r="R38" s="31" t="str">
        <f aca="false">IF(A38="","",N(Deals!M38)*(BrokerPct+SellerRTT+SellClosingPct+ConcessionsPct))</f>
        <v/>
      </c>
      <c r="S38" s="31" t="str">
        <f aca="false">IF(A38="","",Q38+O38+P38*M38)</f>
        <v/>
      </c>
      <c r="T38" s="31" t="str">
        <f aca="false">IF(A38="","",N(Deals!M38)-R38-S38)</f>
        <v/>
      </c>
      <c r="U38" s="31" t="str">
        <f aca="false">IF(A38="","",MIN(T38-FlipTarget,(T38-FlipMinAnnROI*M38/12*S38)/(1+FlipMinAnnROI*M38/12)))</f>
        <v/>
      </c>
      <c r="V38" s="31" t="str">
        <f aca="false">IF(A38="","",IF(N(Deals!S38)=0,MAX(0,(U38)/(1+BuyerPremium)),IF((U38)&gt;=(N(Deals!S38)+SheriffCostsFromBid)/(1-RTTPurchase)*(1+BuyerPremium),(U38)/(1+BuyerPremium),MAX(0,((U38)-N(Deals!S38)-SheriffCostsFromBid)/(BuyerPremium+RTTPurchase)))))</f>
        <v/>
      </c>
      <c r="W38" s="31" t="str">
        <f aca="false">IF(A38="","",((V38)*(1+BuyerPremium)+IF(N(Deals!S38)=0,0,MIN(N(Deals!S38),MAX(0,N(Deals!S38)+SheriffCostsFromBid-(V38)*(1-RTTPurchase)))))+S38)</f>
        <v/>
      </c>
      <c r="X38" s="31" t="str">
        <f aca="false">IF(A38="","",T38-((V38)*(1+BuyerPremium)+IF(N(Deals!S38)=0,0,MIN(N(Deals!S38),MAX(0,N(Deals!S38)+SheriffCostsFromBid-(V38)*(1-RTTPurchase))))))</f>
        <v/>
      </c>
      <c r="Y38" s="32" t="str">
        <f aca="false">IF(A38="","",IFERROR(X38/W38/(M38/12),0))</f>
        <v/>
      </c>
      <c r="Z38" s="31" t="str">
        <f aca="false">IF(A38="","",N(Deals!N38)*12*(1-Vacancy)*(1-MgmtPct-MaintPct-CapexPct)-N(Deals!M38)*TaxRate-MAX(1,N(Deals!J38))*(InsPerUnit+WaterPerUnit)-N(Deals!T38)*12)</f>
        <v/>
      </c>
      <c r="AA38" s="31" t="str">
        <f aca="false">IF(A38="","",Q38+O38+P38*N38)</f>
        <v/>
      </c>
      <c r="AB38" s="31" t="str">
        <f aca="false">IF(A38="","",MAX(0,MIN(RefiLTV*N(Deals!M38),Z38/(RefiDSCR*12*PMT(RefiRate/12,RefiTerm*12,-1)))))</f>
        <v/>
      </c>
      <c r="AC38" s="31" t="str">
        <f aca="false">IF(A38="","",Z38-AB38*12*PMT(RefiRate/12,RefiTerm*12,-1))</f>
        <v/>
      </c>
      <c r="AD38" s="31" t="str">
        <f aca="false">IF(A38="","",IF(N(Deals!S38)=0,MAX(0,(Z38/HoldTarget-AA38)/(1+BuyerPremium)),IF((Z38/HoldTarget-AA38)&gt;=(N(Deals!S38)+SheriffCostsFromBid)/(1-RTTPurchase)*(1+BuyerPremium),(Z38/HoldTarget-AA38)/(1+BuyerPremium),MAX(0,((Z38/HoldTarget-AA38)-N(Deals!S38)-SheriffCostsFromBid)/(BuyerPremium+RTTPurchase)))))</f>
        <v/>
      </c>
      <c r="AE38" s="31" t="str">
        <f aca="false">IF(A38="","",IF(AC38&lt;=0,0,IF(N(Deals!S38)=0,MAX(0,(AC38/HoldTarget+AB38*(1-RefiCostPct)-AA38)/(1+BuyerPremium)),IF((AC38/HoldTarget+AB38*(1-RefiCostPct)-AA38)&gt;=(N(Deals!S38)+SheriffCostsFromBid)/(1-RTTPurchase)*(1+BuyerPremium),(AC38/HoldTarget+AB38*(1-RefiCostPct)-AA38)/(1+BuyerPremium),MAX(0,((AC38/HoldTarget+AB38*(1-RefiCostPct)-AA38)-N(Deals!S38)-SheriffCostsFromBid)/(BuyerPremium+RTTPurchase))))))</f>
        <v/>
      </c>
      <c r="AF38" s="31" t="str">
        <f aca="false">IF(A38="","",IF(HoldMeasure="Cash-on-cash",AE38,AD38))</f>
        <v/>
      </c>
      <c r="AG38" s="31" t="str">
        <f aca="false">IF(A38="","",((AF38)*(1+BuyerPremium)+IF(N(Deals!S38)=0,0,MIN(N(Deals!S38),MAX(0,N(Deals!S38)+SheriffCostsFromBid-(AF38)*(1-RTTPurchase)))))+AA38)</f>
        <v/>
      </c>
      <c r="AH38" s="32" t="str">
        <f aca="false">IF(A38="","",IFERROR(Z38/AG38,0))</f>
        <v/>
      </c>
      <c r="AI38" s="31" t="str">
        <f aca="false">IF(A38="","",AG38-AB38*(1-RefiCostPct))</f>
        <v/>
      </c>
      <c r="AJ38" s="32" t="str">
        <f aca="false">IF(A38="","",IF(AI38&lt;=0,"All cash out",AC38/AI38))</f>
        <v/>
      </c>
      <c r="AK38" s="31" t="str">
        <f aca="false">IF(A38="","",IF(N(Deals!S38)=0,MAX(0,(T38-BuyerMarginPct*N(Deals!M38)-WholesaleMinFee)/(1+BuyerPremium)),IF((T38-BuyerMarginPct*N(Deals!M38)-WholesaleMinFee)&gt;=(N(Deals!S38)+SheriffCostsFromBid)/(1-RTTPurchase)*(1+BuyerPremium),(T38-BuyerMarginPct*N(Deals!M38)-WholesaleMinFee)/(1+BuyerPremium),MAX(0,((T38-BuyerMarginPct*N(Deals!M38)-WholesaleMinFee)-N(Deals!S38)-SheriffCostsFromBid)/(BuyerPremium+RTTPurchase)))))</f>
        <v/>
      </c>
      <c r="AL38" s="31" t="str">
        <f aca="false">IF(OR(A38="",N(Deals!U38)=0),"",Deals!U38*N(Deals!W38))</f>
        <v/>
      </c>
      <c r="AM38" s="31" t="str">
        <f aca="false">IF(AL38="","",DemoCost+N(Deals!V38)*BuildCostPSF*(1+SoftCostPct)+P38*(DeedMonths+K38*EjectMonths+BuildMonths+SellMonths)+Q38+AL38*(BrokerPct+SellerRTT+SellClosingPct+ConcessionsPct))</f>
        <v/>
      </c>
      <c r="AN38" s="31" t="str">
        <f aca="false">IF(AL38="","",IF(N(Deals!S38)=0,MAX(0,(AL38-AM38-MAX(FlipTarget,DevMarginPct*AL38))/(1+BuyerPremium)),IF((AL38-AM38-MAX(FlipTarget,DevMarginPct*AL38))&gt;=(N(Deals!S38)+SheriffCostsFromBid)/(1-RTTPurchase)*(1+BuyerPremium),(AL38-AM38-MAX(FlipTarget,DevMarginPct*AL38))/(1+BuyerPremium),MAX(0,((AL38-AM38-MAX(FlipTarget,DevMarginPct*AL38))-N(Deals!S38)-SheriffCostsFromBid)/(BuyerPremium+RTTPurchase)))))</f>
        <v/>
      </c>
    </row>
    <row r="39" customFormat="false" ht="15" hidden="false" customHeight="true" outlineLevel="0" collapsed="false">
      <c r="A39" s="27" t="str">
        <f aca="false">IF(Deals!A39="","",Deals!A39)</f>
        <v/>
      </c>
      <c r="B39" s="1" t="str">
        <f aca="false">IF(A39="","",Deals!B39)</f>
        <v/>
      </c>
      <c r="C39" s="26" t="str">
        <f aca="false">IF(A39="","",IF(MAX(V39,AF39)&lt;=0,"Pass",IF(V39&gt;=AF39,"Flip","Value-add hold")))</f>
        <v/>
      </c>
      <c r="D39" s="28" t="str">
        <f aca="false">IF(A39="","",MAX(V39,AF39))</f>
        <v/>
      </c>
      <c r="E39" s="29" t="str">
        <f aca="false">IF(A39="","",IF(D39&lt;=0,"Pass",IF(N(Deals!D39)&lt;=1,"$1 = awaiting minimum bid; re-check the morning of Nov 3",IF(D39&lt;Deals!D39,"Max bid below opening bid: pass","Room of "&amp;TEXT(D39-Deals!D39,"$#,##0")&amp;" over opening bid"))))</f>
        <v/>
      </c>
      <c r="F39" s="28" t="str">
        <f aca="false">IF(A39="","",IF(C39="Flip",W39,IF(C39="Value-add hold",AG39,0)))</f>
        <v/>
      </c>
      <c r="G39" s="29" t="str">
        <f aca="false">IF(A39="","",IF(C39="Flip",TEXT(X39,"$#,##0")&amp;" profit, "&amp;TEXT(Y39,"0%")&amp;"/yr over "&amp;TEXT(M39,"0")&amp;" mo",IF(C39="Value-add hold",TEXT(AH39,"0.0%")&amp;" yield on cost; "&amp;IF(ISNUMBER(AJ39),TEXT(AJ39,"0.0%")&amp;" cash-on-cash after refi","all cash out at refi"),"")))</f>
        <v/>
      </c>
      <c r="H39" s="26" t="str">
        <f aca="false">IF(A39="","",IF(C39="Flip",IF(W39&lt;=FlipCeiling,"In $300k flip box","Over flip ceiling: needs to be exceptional"),IF(C39="Value-add hold","Value-add","")))</f>
        <v/>
      </c>
      <c r="I39" s="29" t="str">
        <f aca="false">IF(A39="","",TRIM(IF(AK39&gt;D39,"Wholesale assignment supports "&amp;TEXT(AK39,"$#,##0")&amp;". ","")&amp;IF(AND(ISNUMBER(AN39),N(AN39)&gt;D39),"Teardown/new units supports "&amp;TEXT(AN39,"$#,##0")&amp;".","")))</f>
        <v/>
      </c>
      <c r="J39" s="29" t="str">
        <f aca="false">IF(A39="","",TRIM(IF(Deals!F39="2nd","Plaintiff is 2nd: add senior mortgage to surviving liens. ",IF(Deals!F39&lt;&gt;"1st","Lien position unconfirmed. ",""))&amp;IF(N(Deals!M39)=0,"No ARV yet. ","")&amp;IF(N(Deals!G39)=0,"No building sf: rehab is allowance only. ","")&amp;IF(AND(N(Deals!S39)&gt;0,D39&gt;0,D39*(1-RTTPurchase)-SheriffCostsFromBid&lt;N(Deals!S39)),"City claims not fully paid at max bid; unpaid part is counted as cost. ","")&amp;IF(K39=1,"Occupancy assumed: +"&amp;TEXT(EjectMonths,"0")&amp;" mo and possession cost. ","")))</f>
        <v/>
      </c>
      <c r="K39" s="27" t="str">
        <f aca="false">IF(A39="","",IF(OR(Deals!Q39="Occupied",AND(Deals!Q39&lt;&gt;"Vacant",UnknownAsOccupied="Y")),1,0))</f>
        <v/>
      </c>
      <c r="L39" s="30" t="str">
        <f aca="false">IF(A39="","",IFERROR(INDEX(ScopeMonths,MATCH(Deals!O39,ScopeNames,0)),INDEX(ScopeMonths,3)))</f>
        <v/>
      </c>
      <c r="M39" s="30" t="str">
        <f aca="false">IF(A39="","",DeedMonths+K39*EjectMonths+L39+SellMonths)</f>
        <v/>
      </c>
      <c r="N39" s="30" t="str">
        <f aca="false">IF(A39="","",DeedMonths+K39*EjectMonths+L39+LeaseUpMonths)</f>
        <v/>
      </c>
      <c r="O39" s="31" t="str">
        <f aca="false">IF(A39="","",N(Deals!G39)*IFERROR(INDEX(ScopePSF,MATCH(Deals!O39,ScopeNames,0)),INDEX(ScopePSF,3))*(1+Contingency)+BlindAllowance+N(Deals!P39))</f>
        <v/>
      </c>
      <c r="P39" s="31" t="str">
        <f aca="false">IF(A39="","",IF(N(Deals!K39)&gt;0,Deals!K39,N(Deals!M39))*TaxRate/12+VacantInsMo+SecuringMo+UtilitiesMo+N(Deals!T39))</f>
        <v/>
      </c>
      <c r="Q39" s="31" t="str">
        <f aca="false">IF(A39="","",SheriffFees+PurchaseTitle+CompelDeedLegal+K39*PossessionCost+N(Deals!R39)+N(Deals!T39)*HOAArrearsMonths)</f>
        <v/>
      </c>
      <c r="R39" s="31" t="str">
        <f aca="false">IF(A39="","",N(Deals!M39)*(BrokerPct+SellerRTT+SellClosingPct+ConcessionsPct))</f>
        <v/>
      </c>
      <c r="S39" s="31" t="str">
        <f aca="false">IF(A39="","",Q39+O39+P39*M39)</f>
        <v/>
      </c>
      <c r="T39" s="31" t="str">
        <f aca="false">IF(A39="","",N(Deals!M39)-R39-S39)</f>
        <v/>
      </c>
      <c r="U39" s="31" t="str">
        <f aca="false">IF(A39="","",MIN(T39-FlipTarget,(T39-FlipMinAnnROI*M39/12*S39)/(1+FlipMinAnnROI*M39/12)))</f>
        <v/>
      </c>
      <c r="V39" s="31" t="str">
        <f aca="false">IF(A39="","",IF(N(Deals!S39)=0,MAX(0,(U39)/(1+BuyerPremium)),IF((U39)&gt;=(N(Deals!S39)+SheriffCostsFromBid)/(1-RTTPurchase)*(1+BuyerPremium),(U39)/(1+BuyerPremium),MAX(0,((U39)-N(Deals!S39)-SheriffCostsFromBid)/(BuyerPremium+RTTPurchase)))))</f>
        <v/>
      </c>
      <c r="W39" s="31" t="str">
        <f aca="false">IF(A39="","",((V39)*(1+BuyerPremium)+IF(N(Deals!S39)=0,0,MIN(N(Deals!S39),MAX(0,N(Deals!S39)+SheriffCostsFromBid-(V39)*(1-RTTPurchase)))))+S39)</f>
        <v/>
      </c>
      <c r="X39" s="31" t="str">
        <f aca="false">IF(A39="","",T39-((V39)*(1+BuyerPremium)+IF(N(Deals!S39)=0,0,MIN(N(Deals!S39),MAX(0,N(Deals!S39)+SheriffCostsFromBid-(V39)*(1-RTTPurchase))))))</f>
        <v/>
      </c>
      <c r="Y39" s="32" t="str">
        <f aca="false">IF(A39="","",IFERROR(X39/W39/(M39/12),0))</f>
        <v/>
      </c>
      <c r="Z39" s="31" t="str">
        <f aca="false">IF(A39="","",N(Deals!N39)*12*(1-Vacancy)*(1-MgmtPct-MaintPct-CapexPct)-N(Deals!M39)*TaxRate-MAX(1,N(Deals!J39))*(InsPerUnit+WaterPerUnit)-N(Deals!T39)*12)</f>
        <v/>
      </c>
      <c r="AA39" s="31" t="str">
        <f aca="false">IF(A39="","",Q39+O39+P39*N39)</f>
        <v/>
      </c>
      <c r="AB39" s="31" t="str">
        <f aca="false">IF(A39="","",MAX(0,MIN(RefiLTV*N(Deals!M39),Z39/(RefiDSCR*12*PMT(RefiRate/12,RefiTerm*12,-1)))))</f>
        <v/>
      </c>
      <c r="AC39" s="31" t="str">
        <f aca="false">IF(A39="","",Z39-AB39*12*PMT(RefiRate/12,RefiTerm*12,-1))</f>
        <v/>
      </c>
      <c r="AD39" s="31" t="str">
        <f aca="false">IF(A39="","",IF(N(Deals!S39)=0,MAX(0,(Z39/HoldTarget-AA39)/(1+BuyerPremium)),IF((Z39/HoldTarget-AA39)&gt;=(N(Deals!S39)+SheriffCostsFromBid)/(1-RTTPurchase)*(1+BuyerPremium),(Z39/HoldTarget-AA39)/(1+BuyerPremium),MAX(0,((Z39/HoldTarget-AA39)-N(Deals!S39)-SheriffCostsFromBid)/(BuyerPremium+RTTPurchase)))))</f>
        <v/>
      </c>
      <c r="AE39" s="31" t="str">
        <f aca="false">IF(A39="","",IF(AC39&lt;=0,0,IF(N(Deals!S39)=0,MAX(0,(AC39/HoldTarget+AB39*(1-RefiCostPct)-AA39)/(1+BuyerPremium)),IF((AC39/HoldTarget+AB39*(1-RefiCostPct)-AA39)&gt;=(N(Deals!S39)+SheriffCostsFromBid)/(1-RTTPurchase)*(1+BuyerPremium),(AC39/HoldTarget+AB39*(1-RefiCostPct)-AA39)/(1+BuyerPremium),MAX(0,((AC39/HoldTarget+AB39*(1-RefiCostPct)-AA39)-N(Deals!S39)-SheriffCostsFromBid)/(BuyerPremium+RTTPurchase))))))</f>
        <v/>
      </c>
      <c r="AF39" s="31" t="str">
        <f aca="false">IF(A39="","",IF(HoldMeasure="Cash-on-cash",AE39,AD39))</f>
        <v/>
      </c>
      <c r="AG39" s="31" t="str">
        <f aca="false">IF(A39="","",((AF39)*(1+BuyerPremium)+IF(N(Deals!S39)=0,0,MIN(N(Deals!S39),MAX(0,N(Deals!S39)+SheriffCostsFromBid-(AF39)*(1-RTTPurchase)))))+AA39)</f>
        <v/>
      </c>
      <c r="AH39" s="32" t="str">
        <f aca="false">IF(A39="","",IFERROR(Z39/AG39,0))</f>
        <v/>
      </c>
      <c r="AI39" s="31" t="str">
        <f aca="false">IF(A39="","",AG39-AB39*(1-RefiCostPct))</f>
        <v/>
      </c>
      <c r="AJ39" s="32" t="str">
        <f aca="false">IF(A39="","",IF(AI39&lt;=0,"All cash out",AC39/AI39))</f>
        <v/>
      </c>
      <c r="AK39" s="31" t="str">
        <f aca="false">IF(A39="","",IF(N(Deals!S39)=0,MAX(0,(T39-BuyerMarginPct*N(Deals!M39)-WholesaleMinFee)/(1+BuyerPremium)),IF((T39-BuyerMarginPct*N(Deals!M39)-WholesaleMinFee)&gt;=(N(Deals!S39)+SheriffCostsFromBid)/(1-RTTPurchase)*(1+BuyerPremium),(T39-BuyerMarginPct*N(Deals!M39)-WholesaleMinFee)/(1+BuyerPremium),MAX(0,((T39-BuyerMarginPct*N(Deals!M39)-WholesaleMinFee)-N(Deals!S39)-SheriffCostsFromBid)/(BuyerPremium+RTTPurchase)))))</f>
        <v/>
      </c>
      <c r="AL39" s="31" t="str">
        <f aca="false">IF(OR(A39="",N(Deals!U39)=0),"",Deals!U39*N(Deals!W39))</f>
        <v/>
      </c>
      <c r="AM39" s="31" t="str">
        <f aca="false">IF(AL39="","",DemoCost+N(Deals!V39)*BuildCostPSF*(1+SoftCostPct)+P39*(DeedMonths+K39*EjectMonths+BuildMonths+SellMonths)+Q39+AL39*(BrokerPct+SellerRTT+SellClosingPct+ConcessionsPct))</f>
        <v/>
      </c>
      <c r="AN39" s="31" t="str">
        <f aca="false">IF(AL39="","",IF(N(Deals!S39)=0,MAX(0,(AL39-AM39-MAX(FlipTarget,DevMarginPct*AL39))/(1+BuyerPremium)),IF((AL39-AM39-MAX(FlipTarget,DevMarginPct*AL39))&gt;=(N(Deals!S39)+SheriffCostsFromBid)/(1-RTTPurchase)*(1+BuyerPremium),(AL39-AM39-MAX(FlipTarget,DevMarginPct*AL39))/(1+BuyerPremium),MAX(0,((AL39-AM39-MAX(FlipTarget,DevMarginPct*AL39))-N(Deals!S39)-SheriffCostsFromBid)/(BuyerPremium+RTTPurchase)))))</f>
        <v/>
      </c>
    </row>
    <row r="40" customFormat="false" ht="15" hidden="false" customHeight="true" outlineLevel="0" collapsed="false">
      <c r="A40" s="27" t="str">
        <f aca="false">IF(Deals!A40="","",Deals!A40)</f>
        <v/>
      </c>
      <c r="B40" s="1" t="str">
        <f aca="false">IF(A40="","",Deals!B40)</f>
        <v/>
      </c>
      <c r="C40" s="26" t="str">
        <f aca="false">IF(A40="","",IF(MAX(V40,AF40)&lt;=0,"Pass",IF(V40&gt;=AF40,"Flip","Value-add hold")))</f>
        <v/>
      </c>
      <c r="D40" s="28" t="str">
        <f aca="false">IF(A40="","",MAX(V40,AF40))</f>
        <v/>
      </c>
      <c r="E40" s="29" t="str">
        <f aca="false">IF(A40="","",IF(D40&lt;=0,"Pass",IF(N(Deals!D40)&lt;=1,"$1 = awaiting minimum bid; re-check the morning of Nov 3",IF(D40&lt;Deals!D40,"Max bid below opening bid: pass","Room of "&amp;TEXT(D40-Deals!D40,"$#,##0")&amp;" over opening bid"))))</f>
        <v/>
      </c>
      <c r="F40" s="28" t="str">
        <f aca="false">IF(A40="","",IF(C40="Flip",W40,IF(C40="Value-add hold",AG40,0)))</f>
        <v/>
      </c>
      <c r="G40" s="29" t="str">
        <f aca="false">IF(A40="","",IF(C40="Flip",TEXT(X40,"$#,##0")&amp;" profit, "&amp;TEXT(Y40,"0%")&amp;"/yr over "&amp;TEXT(M40,"0")&amp;" mo",IF(C40="Value-add hold",TEXT(AH40,"0.0%")&amp;" yield on cost; "&amp;IF(ISNUMBER(AJ40),TEXT(AJ40,"0.0%")&amp;" cash-on-cash after refi","all cash out at refi"),"")))</f>
        <v/>
      </c>
      <c r="H40" s="26" t="str">
        <f aca="false">IF(A40="","",IF(C40="Flip",IF(W40&lt;=FlipCeiling,"In $300k flip box","Over flip ceiling: needs to be exceptional"),IF(C40="Value-add hold","Value-add","")))</f>
        <v/>
      </c>
      <c r="I40" s="29" t="str">
        <f aca="false">IF(A40="","",TRIM(IF(AK40&gt;D40,"Wholesale assignment supports "&amp;TEXT(AK40,"$#,##0")&amp;". ","")&amp;IF(AND(ISNUMBER(AN40),N(AN40)&gt;D40),"Teardown/new units supports "&amp;TEXT(AN40,"$#,##0")&amp;".","")))</f>
        <v/>
      </c>
      <c r="J40" s="29" t="str">
        <f aca="false">IF(A40="","",TRIM(IF(Deals!F40="2nd","Plaintiff is 2nd: add senior mortgage to surviving liens. ",IF(Deals!F40&lt;&gt;"1st","Lien position unconfirmed. ",""))&amp;IF(N(Deals!M40)=0,"No ARV yet. ","")&amp;IF(N(Deals!G40)=0,"No building sf: rehab is allowance only. ","")&amp;IF(AND(N(Deals!S40)&gt;0,D40&gt;0,D40*(1-RTTPurchase)-SheriffCostsFromBid&lt;N(Deals!S40)),"City claims not fully paid at max bid; unpaid part is counted as cost. ","")&amp;IF(K40=1,"Occupancy assumed: +"&amp;TEXT(EjectMonths,"0")&amp;" mo and possession cost. ","")))</f>
        <v/>
      </c>
      <c r="K40" s="27" t="str">
        <f aca="false">IF(A40="","",IF(OR(Deals!Q40="Occupied",AND(Deals!Q40&lt;&gt;"Vacant",UnknownAsOccupied="Y")),1,0))</f>
        <v/>
      </c>
      <c r="L40" s="30" t="str">
        <f aca="false">IF(A40="","",IFERROR(INDEX(ScopeMonths,MATCH(Deals!O40,ScopeNames,0)),INDEX(ScopeMonths,3)))</f>
        <v/>
      </c>
      <c r="M40" s="30" t="str">
        <f aca="false">IF(A40="","",DeedMonths+K40*EjectMonths+L40+SellMonths)</f>
        <v/>
      </c>
      <c r="N40" s="30" t="str">
        <f aca="false">IF(A40="","",DeedMonths+K40*EjectMonths+L40+LeaseUpMonths)</f>
        <v/>
      </c>
      <c r="O40" s="31" t="str">
        <f aca="false">IF(A40="","",N(Deals!G40)*IFERROR(INDEX(ScopePSF,MATCH(Deals!O40,ScopeNames,0)),INDEX(ScopePSF,3))*(1+Contingency)+BlindAllowance+N(Deals!P40))</f>
        <v/>
      </c>
      <c r="P40" s="31" t="str">
        <f aca="false">IF(A40="","",IF(N(Deals!K40)&gt;0,Deals!K40,N(Deals!M40))*TaxRate/12+VacantInsMo+SecuringMo+UtilitiesMo+N(Deals!T40))</f>
        <v/>
      </c>
      <c r="Q40" s="31" t="str">
        <f aca="false">IF(A40="","",SheriffFees+PurchaseTitle+CompelDeedLegal+K40*PossessionCost+N(Deals!R40)+N(Deals!T40)*HOAArrearsMonths)</f>
        <v/>
      </c>
      <c r="R40" s="31" t="str">
        <f aca="false">IF(A40="","",N(Deals!M40)*(BrokerPct+SellerRTT+SellClosingPct+ConcessionsPct))</f>
        <v/>
      </c>
      <c r="S40" s="31" t="str">
        <f aca="false">IF(A40="","",Q40+O40+P40*M40)</f>
        <v/>
      </c>
      <c r="T40" s="31" t="str">
        <f aca="false">IF(A40="","",N(Deals!M40)-R40-S40)</f>
        <v/>
      </c>
      <c r="U40" s="31" t="str">
        <f aca="false">IF(A40="","",MIN(T40-FlipTarget,(T40-FlipMinAnnROI*M40/12*S40)/(1+FlipMinAnnROI*M40/12)))</f>
        <v/>
      </c>
      <c r="V40" s="31" t="str">
        <f aca="false">IF(A40="","",IF(N(Deals!S40)=0,MAX(0,(U40)/(1+BuyerPremium)),IF((U40)&gt;=(N(Deals!S40)+SheriffCostsFromBid)/(1-RTTPurchase)*(1+BuyerPremium),(U40)/(1+BuyerPremium),MAX(0,((U40)-N(Deals!S40)-SheriffCostsFromBid)/(BuyerPremium+RTTPurchase)))))</f>
        <v/>
      </c>
      <c r="W40" s="31" t="str">
        <f aca="false">IF(A40="","",((V40)*(1+BuyerPremium)+IF(N(Deals!S40)=0,0,MIN(N(Deals!S40),MAX(0,N(Deals!S40)+SheriffCostsFromBid-(V40)*(1-RTTPurchase)))))+S40)</f>
        <v/>
      </c>
      <c r="X40" s="31" t="str">
        <f aca="false">IF(A40="","",T40-((V40)*(1+BuyerPremium)+IF(N(Deals!S40)=0,0,MIN(N(Deals!S40),MAX(0,N(Deals!S40)+SheriffCostsFromBid-(V40)*(1-RTTPurchase))))))</f>
        <v/>
      </c>
      <c r="Y40" s="32" t="str">
        <f aca="false">IF(A40="","",IFERROR(X40/W40/(M40/12),0))</f>
        <v/>
      </c>
      <c r="Z40" s="31" t="str">
        <f aca="false">IF(A40="","",N(Deals!N40)*12*(1-Vacancy)*(1-MgmtPct-MaintPct-CapexPct)-N(Deals!M40)*TaxRate-MAX(1,N(Deals!J40))*(InsPerUnit+WaterPerUnit)-N(Deals!T40)*12)</f>
        <v/>
      </c>
      <c r="AA40" s="31" t="str">
        <f aca="false">IF(A40="","",Q40+O40+P40*N40)</f>
        <v/>
      </c>
      <c r="AB40" s="31" t="str">
        <f aca="false">IF(A40="","",MAX(0,MIN(RefiLTV*N(Deals!M40),Z40/(RefiDSCR*12*PMT(RefiRate/12,RefiTerm*12,-1)))))</f>
        <v/>
      </c>
      <c r="AC40" s="31" t="str">
        <f aca="false">IF(A40="","",Z40-AB40*12*PMT(RefiRate/12,RefiTerm*12,-1))</f>
        <v/>
      </c>
      <c r="AD40" s="31" t="str">
        <f aca="false">IF(A40="","",IF(N(Deals!S40)=0,MAX(0,(Z40/HoldTarget-AA40)/(1+BuyerPremium)),IF((Z40/HoldTarget-AA40)&gt;=(N(Deals!S40)+SheriffCostsFromBid)/(1-RTTPurchase)*(1+BuyerPremium),(Z40/HoldTarget-AA40)/(1+BuyerPremium),MAX(0,((Z40/HoldTarget-AA40)-N(Deals!S40)-SheriffCostsFromBid)/(BuyerPremium+RTTPurchase)))))</f>
        <v/>
      </c>
      <c r="AE40" s="31" t="str">
        <f aca="false">IF(A40="","",IF(AC40&lt;=0,0,IF(N(Deals!S40)=0,MAX(0,(AC40/HoldTarget+AB40*(1-RefiCostPct)-AA40)/(1+BuyerPremium)),IF((AC40/HoldTarget+AB40*(1-RefiCostPct)-AA40)&gt;=(N(Deals!S40)+SheriffCostsFromBid)/(1-RTTPurchase)*(1+BuyerPremium),(AC40/HoldTarget+AB40*(1-RefiCostPct)-AA40)/(1+BuyerPremium),MAX(0,((AC40/HoldTarget+AB40*(1-RefiCostPct)-AA40)-N(Deals!S40)-SheriffCostsFromBid)/(BuyerPremium+RTTPurchase))))))</f>
        <v/>
      </c>
      <c r="AF40" s="31" t="str">
        <f aca="false">IF(A40="","",IF(HoldMeasure="Cash-on-cash",AE40,AD40))</f>
        <v/>
      </c>
      <c r="AG40" s="31" t="str">
        <f aca="false">IF(A40="","",((AF40)*(1+BuyerPremium)+IF(N(Deals!S40)=0,0,MIN(N(Deals!S40),MAX(0,N(Deals!S40)+SheriffCostsFromBid-(AF40)*(1-RTTPurchase)))))+AA40)</f>
        <v/>
      </c>
      <c r="AH40" s="32" t="str">
        <f aca="false">IF(A40="","",IFERROR(Z40/AG40,0))</f>
        <v/>
      </c>
      <c r="AI40" s="31" t="str">
        <f aca="false">IF(A40="","",AG40-AB40*(1-RefiCostPct))</f>
        <v/>
      </c>
      <c r="AJ40" s="32" t="str">
        <f aca="false">IF(A40="","",IF(AI40&lt;=0,"All cash out",AC40/AI40))</f>
        <v/>
      </c>
      <c r="AK40" s="31" t="str">
        <f aca="false">IF(A40="","",IF(N(Deals!S40)=0,MAX(0,(T40-BuyerMarginPct*N(Deals!M40)-WholesaleMinFee)/(1+BuyerPremium)),IF((T40-BuyerMarginPct*N(Deals!M40)-WholesaleMinFee)&gt;=(N(Deals!S40)+SheriffCostsFromBid)/(1-RTTPurchase)*(1+BuyerPremium),(T40-BuyerMarginPct*N(Deals!M40)-WholesaleMinFee)/(1+BuyerPremium),MAX(0,((T40-BuyerMarginPct*N(Deals!M40)-WholesaleMinFee)-N(Deals!S40)-SheriffCostsFromBid)/(BuyerPremium+RTTPurchase)))))</f>
        <v/>
      </c>
      <c r="AL40" s="31" t="str">
        <f aca="false">IF(OR(A40="",N(Deals!U40)=0),"",Deals!U40*N(Deals!W40))</f>
        <v/>
      </c>
      <c r="AM40" s="31" t="str">
        <f aca="false">IF(AL40="","",DemoCost+N(Deals!V40)*BuildCostPSF*(1+SoftCostPct)+P40*(DeedMonths+K40*EjectMonths+BuildMonths+SellMonths)+Q40+AL40*(BrokerPct+SellerRTT+SellClosingPct+ConcessionsPct))</f>
        <v/>
      </c>
      <c r="AN40" s="31" t="str">
        <f aca="false">IF(AL40="","",IF(N(Deals!S40)=0,MAX(0,(AL40-AM40-MAX(FlipTarget,DevMarginPct*AL40))/(1+BuyerPremium)),IF((AL40-AM40-MAX(FlipTarget,DevMarginPct*AL40))&gt;=(N(Deals!S40)+SheriffCostsFromBid)/(1-RTTPurchase)*(1+BuyerPremium),(AL40-AM40-MAX(FlipTarget,DevMarginPct*AL40))/(1+BuyerPremium),MAX(0,((AL40-AM40-MAX(FlipTarget,DevMarginPct*AL40))-N(Deals!S40)-SheriffCostsFromBid)/(BuyerPremium+RTTPurchase)))))</f>
        <v/>
      </c>
    </row>
    <row r="41" customFormat="false" ht="15" hidden="false" customHeight="true" outlineLevel="0" collapsed="false">
      <c r="A41" s="27" t="str">
        <f aca="false">IF(Deals!A41="","",Deals!A41)</f>
        <v/>
      </c>
      <c r="B41" s="1" t="str">
        <f aca="false">IF(A41="","",Deals!B41)</f>
        <v/>
      </c>
      <c r="C41" s="26" t="str">
        <f aca="false">IF(A41="","",IF(MAX(V41,AF41)&lt;=0,"Pass",IF(V41&gt;=AF41,"Flip","Value-add hold")))</f>
        <v/>
      </c>
      <c r="D41" s="28" t="str">
        <f aca="false">IF(A41="","",MAX(V41,AF41))</f>
        <v/>
      </c>
      <c r="E41" s="29" t="str">
        <f aca="false">IF(A41="","",IF(D41&lt;=0,"Pass",IF(N(Deals!D41)&lt;=1,"$1 = awaiting minimum bid; re-check the morning of Nov 3",IF(D41&lt;Deals!D41,"Max bid below opening bid: pass","Room of "&amp;TEXT(D41-Deals!D41,"$#,##0")&amp;" over opening bid"))))</f>
        <v/>
      </c>
      <c r="F41" s="28" t="str">
        <f aca="false">IF(A41="","",IF(C41="Flip",W41,IF(C41="Value-add hold",AG41,0)))</f>
        <v/>
      </c>
      <c r="G41" s="29" t="str">
        <f aca="false">IF(A41="","",IF(C41="Flip",TEXT(X41,"$#,##0")&amp;" profit, "&amp;TEXT(Y41,"0%")&amp;"/yr over "&amp;TEXT(M41,"0")&amp;" mo",IF(C41="Value-add hold",TEXT(AH41,"0.0%")&amp;" yield on cost; "&amp;IF(ISNUMBER(AJ41),TEXT(AJ41,"0.0%")&amp;" cash-on-cash after refi","all cash out at refi"),"")))</f>
        <v/>
      </c>
      <c r="H41" s="26" t="str">
        <f aca="false">IF(A41="","",IF(C41="Flip",IF(W41&lt;=FlipCeiling,"In $300k flip box","Over flip ceiling: needs to be exceptional"),IF(C41="Value-add hold","Value-add","")))</f>
        <v/>
      </c>
      <c r="I41" s="29" t="str">
        <f aca="false">IF(A41="","",TRIM(IF(AK41&gt;D41,"Wholesale assignment supports "&amp;TEXT(AK41,"$#,##0")&amp;". ","")&amp;IF(AND(ISNUMBER(AN41),N(AN41)&gt;D41),"Teardown/new units supports "&amp;TEXT(AN41,"$#,##0")&amp;".","")))</f>
        <v/>
      </c>
      <c r="J41" s="29" t="str">
        <f aca="false">IF(A41="","",TRIM(IF(Deals!F41="2nd","Plaintiff is 2nd: add senior mortgage to surviving liens. ",IF(Deals!F41&lt;&gt;"1st","Lien position unconfirmed. ",""))&amp;IF(N(Deals!M41)=0,"No ARV yet. ","")&amp;IF(N(Deals!G41)=0,"No building sf: rehab is allowance only. ","")&amp;IF(AND(N(Deals!S41)&gt;0,D41&gt;0,D41*(1-RTTPurchase)-SheriffCostsFromBid&lt;N(Deals!S41)),"City claims not fully paid at max bid; unpaid part is counted as cost. ","")&amp;IF(K41=1,"Occupancy assumed: +"&amp;TEXT(EjectMonths,"0")&amp;" mo and possession cost. ","")))</f>
        <v/>
      </c>
      <c r="K41" s="27" t="str">
        <f aca="false">IF(A41="","",IF(OR(Deals!Q41="Occupied",AND(Deals!Q41&lt;&gt;"Vacant",UnknownAsOccupied="Y")),1,0))</f>
        <v/>
      </c>
      <c r="L41" s="30" t="str">
        <f aca="false">IF(A41="","",IFERROR(INDEX(ScopeMonths,MATCH(Deals!O41,ScopeNames,0)),INDEX(ScopeMonths,3)))</f>
        <v/>
      </c>
      <c r="M41" s="30" t="str">
        <f aca="false">IF(A41="","",DeedMonths+K41*EjectMonths+L41+SellMonths)</f>
        <v/>
      </c>
      <c r="N41" s="30" t="str">
        <f aca="false">IF(A41="","",DeedMonths+K41*EjectMonths+L41+LeaseUpMonths)</f>
        <v/>
      </c>
      <c r="O41" s="31" t="str">
        <f aca="false">IF(A41="","",N(Deals!G41)*IFERROR(INDEX(ScopePSF,MATCH(Deals!O41,ScopeNames,0)),INDEX(ScopePSF,3))*(1+Contingency)+BlindAllowance+N(Deals!P41))</f>
        <v/>
      </c>
      <c r="P41" s="31" t="str">
        <f aca="false">IF(A41="","",IF(N(Deals!K41)&gt;0,Deals!K41,N(Deals!M41))*TaxRate/12+VacantInsMo+SecuringMo+UtilitiesMo+N(Deals!T41))</f>
        <v/>
      </c>
      <c r="Q41" s="31" t="str">
        <f aca="false">IF(A41="","",SheriffFees+PurchaseTitle+CompelDeedLegal+K41*PossessionCost+N(Deals!R41)+N(Deals!T41)*HOAArrearsMonths)</f>
        <v/>
      </c>
      <c r="R41" s="31" t="str">
        <f aca="false">IF(A41="","",N(Deals!M41)*(BrokerPct+SellerRTT+SellClosingPct+ConcessionsPct))</f>
        <v/>
      </c>
      <c r="S41" s="31" t="str">
        <f aca="false">IF(A41="","",Q41+O41+P41*M41)</f>
        <v/>
      </c>
      <c r="T41" s="31" t="str">
        <f aca="false">IF(A41="","",N(Deals!M41)-R41-S41)</f>
        <v/>
      </c>
      <c r="U41" s="31" t="str">
        <f aca="false">IF(A41="","",MIN(T41-FlipTarget,(T41-FlipMinAnnROI*M41/12*S41)/(1+FlipMinAnnROI*M41/12)))</f>
        <v/>
      </c>
      <c r="V41" s="31" t="str">
        <f aca="false">IF(A41="","",IF(N(Deals!S41)=0,MAX(0,(U41)/(1+BuyerPremium)),IF((U41)&gt;=(N(Deals!S41)+SheriffCostsFromBid)/(1-RTTPurchase)*(1+BuyerPremium),(U41)/(1+BuyerPremium),MAX(0,((U41)-N(Deals!S41)-SheriffCostsFromBid)/(BuyerPremium+RTTPurchase)))))</f>
        <v/>
      </c>
      <c r="W41" s="31" t="str">
        <f aca="false">IF(A41="","",((V41)*(1+BuyerPremium)+IF(N(Deals!S41)=0,0,MIN(N(Deals!S41),MAX(0,N(Deals!S41)+SheriffCostsFromBid-(V41)*(1-RTTPurchase)))))+S41)</f>
        <v/>
      </c>
      <c r="X41" s="31" t="str">
        <f aca="false">IF(A41="","",T41-((V41)*(1+BuyerPremium)+IF(N(Deals!S41)=0,0,MIN(N(Deals!S41),MAX(0,N(Deals!S41)+SheriffCostsFromBid-(V41)*(1-RTTPurchase))))))</f>
        <v/>
      </c>
      <c r="Y41" s="32" t="str">
        <f aca="false">IF(A41="","",IFERROR(X41/W41/(M41/12),0))</f>
        <v/>
      </c>
      <c r="Z41" s="31" t="str">
        <f aca="false">IF(A41="","",N(Deals!N41)*12*(1-Vacancy)*(1-MgmtPct-MaintPct-CapexPct)-N(Deals!M41)*TaxRate-MAX(1,N(Deals!J41))*(InsPerUnit+WaterPerUnit)-N(Deals!T41)*12)</f>
        <v/>
      </c>
      <c r="AA41" s="31" t="str">
        <f aca="false">IF(A41="","",Q41+O41+P41*N41)</f>
        <v/>
      </c>
      <c r="AB41" s="31" t="str">
        <f aca="false">IF(A41="","",MAX(0,MIN(RefiLTV*N(Deals!M41),Z41/(RefiDSCR*12*PMT(RefiRate/12,RefiTerm*12,-1)))))</f>
        <v/>
      </c>
      <c r="AC41" s="31" t="str">
        <f aca="false">IF(A41="","",Z41-AB41*12*PMT(RefiRate/12,RefiTerm*12,-1))</f>
        <v/>
      </c>
      <c r="AD41" s="31" t="str">
        <f aca="false">IF(A41="","",IF(N(Deals!S41)=0,MAX(0,(Z41/HoldTarget-AA41)/(1+BuyerPremium)),IF((Z41/HoldTarget-AA41)&gt;=(N(Deals!S41)+SheriffCostsFromBid)/(1-RTTPurchase)*(1+BuyerPremium),(Z41/HoldTarget-AA41)/(1+BuyerPremium),MAX(0,((Z41/HoldTarget-AA41)-N(Deals!S41)-SheriffCostsFromBid)/(BuyerPremium+RTTPurchase)))))</f>
        <v/>
      </c>
      <c r="AE41" s="31" t="str">
        <f aca="false">IF(A41="","",IF(AC41&lt;=0,0,IF(N(Deals!S41)=0,MAX(0,(AC41/HoldTarget+AB41*(1-RefiCostPct)-AA41)/(1+BuyerPremium)),IF((AC41/HoldTarget+AB41*(1-RefiCostPct)-AA41)&gt;=(N(Deals!S41)+SheriffCostsFromBid)/(1-RTTPurchase)*(1+BuyerPremium),(AC41/HoldTarget+AB41*(1-RefiCostPct)-AA41)/(1+BuyerPremium),MAX(0,((AC41/HoldTarget+AB41*(1-RefiCostPct)-AA41)-N(Deals!S41)-SheriffCostsFromBid)/(BuyerPremium+RTTPurchase))))))</f>
        <v/>
      </c>
      <c r="AF41" s="31" t="str">
        <f aca="false">IF(A41="","",IF(HoldMeasure="Cash-on-cash",AE41,AD41))</f>
        <v/>
      </c>
      <c r="AG41" s="31" t="str">
        <f aca="false">IF(A41="","",((AF41)*(1+BuyerPremium)+IF(N(Deals!S41)=0,0,MIN(N(Deals!S41),MAX(0,N(Deals!S41)+SheriffCostsFromBid-(AF41)*(1-RTTPurchase)))))+AA41)</f>
        <v/>
      </c>
      <c r="AH41" s="32" t="str">
        <f aca="false">IF(A41="","",IFERROR(Z41/AG41,0))</f>
        <v/>
      </c>
      <c r="AI41" s="31" t="str">
        <f aca="false">IF(A41="","",AG41-AB41*(1-RefiCostPct))</f>
        <v/>
      </c>
      <c r="AJ41" s="32" t="str">
        <f aca="false">IF(A41="","",IF(AI41&lt;=0,"All cash out",AC41/AI41))</f>
        <v/>
      </c>
      <c r="AK41" s="31" t="str">
        <f aca="false">IF(A41="","",IF(N(Deals!S41)=0,MAX(0,(T41-BuyerMarginPct*N(Deals!M41)-WholesaleMinFee)/(1+BuyerPremium)),IF((T41-BuyerMarginPct*N(Deals!M41)-WholesaleMinFee)&gt;=(N(Deals!S41)+SheriffCostsFromBid)/(1-RTTPurchase)*(1+BuyerPremium),(T41-BuyerMarginPct*N(Deals!M41)-WholesaleMinFee)/(1+BuyerPremium),MAX(0,((T41-BuyerMarginPct*N(Deals!M41)-WholesaleMinFee)-N(Deals!S41)-SheriffCostsFromBid)/(BuyerPremium+RTTPurchase)))))</f>
        <v/>
      </c>
      <c r="AL41" s="31" t="str">
        <f aca="false">IF(OR(A41="",N(Deals!U41)=0),"",Deals!U41*N(Deals!W41))</f>
        <v/>
      </c>
      <c r="AM41" s="31" t="str">
        <f aca="false">IF(AL41="","",DemoCost+N(Deals!V41)*BuildCostPSF*(1+SoftCostPct)+P41*(DeedMonths+K41*EjectMonths+BuildMonths+SellMonths)+Q41+AL41*(BrokerPct+SellerRTT+SellClosingPct+ConcessionsPct))</f>
        <v/>
      </c>
      <c r="AN41" s="31" t="str">
        <f aca="false">IF(AL41="","",IF(N(Deals!S41)=0,MAX(0,(AL41-AM41-MAX(FlipTarget,DevMarginPct*AL41))/(1+BuyerPremium)),IF((AL41-AM41-MAX(FlipTarget,DevMarginPct*AL41))&gt;=(N(Deals!S41)+SheriffCostsFromBid)/(1-RTTPurchase)*(1+BuyerPremium),(AL41-AM41-MAX(FlipTarget,DevMarginPct*AL41))/(1+BuyerPremium),MAX(0,((AL41-AM41-MAX(FlipTarget,DevMarginPct*AL41))-N(Deals!S41)-SheriffCostsFromBid)/(BuyerPremium+RTTPurchase)))))</f>
        <v/>
      </c>
    </row>
    <row r="42" customFormat="false" ht="15" hidden="false" customHeight="true" outlineLevel="0" collapsed="false">
      <c r="A42" s="27" t="str">
        <f aca="false">IF(Deals!A42="","",Deals!A42)</f>
        <v/>
      </c>
      <c r="B42" s="1" t="str">
        <f aca="false">IF(A42="","",Deals!B42)</f>
        <v/>
      </c>
      <c r="C42" s="26" t="str">
        <f aca="false">IF(A42="","",IF(MAX(V42,AF42)&lt;=0,"Pass",IF(V42&gt;=AF42,"Flip","Value-add hold")))</f>
        <v/>
      </c>
      <c r="D42" s="28" t="str">
        <f aca="false">IF(A42="","",MAX(V42,AF42))</f>
        <v/>
      </c>
      <c r="E42" s="29" t="str">
        <f aca="false">IF(A42="","",IF(D42&lt;=0,"Pass",IF(N(Deals!D42)&lt;=1,"$1 = awaiting minimum bid; re-check the morning of Nov 3",IF(D42&lt;Deals!D42,"Max bid below opening bid: pass","Room of "&amp;TEXT(D42-Deals!D42,"$#,##0")&amp;" over opening bid"))))</f>
        <v/>
      </c>
      <c r="F42" s="28" t="str">
        <f aca="false">IF(A42="","",IF(C42="Flip",W42,IF(C42="Value-add hold",AG42,0)))</f>
        <v/>
      </c>
      <c r="G42" s="29" t="str">
        <f aca="false">IF(A42="","",IF(C42="Flip",TEXT(X42,"$#,##0")&amp;" profit, "&amp;TEXT(Y42,"0%")&amp;"/yr over "&amp;TEXT(M42,"0")&amp;" mo",IF(C42="Value-add hold",TEXT(AH42,"0.0%")&amp;" yield on cost; "&amp;IF(ISNUMBER(AJ42),TEXT(AJ42,"0.0%")&amp;" cash-on-cash after refi","all cash out at refi"),"")))</f>
        <v/>
      </c>
      <c r="H42" s="26" t="str">
        <f aca="false">IF(A42="","",IF(C42="Flip",IF(W42&lt;=FlipCeiling,"In $300k flip box","Over flip ceiling: needs to be exceptional"),IF(C42="Value-add hold","Value-add","")))</f>
        <v/>
      </c>
      <c r="I42" s="29" t="str">
        <f aca="false">IF(A42="","",TRIM(IF(AK42&gt;D42,"Wholesale assignment supports "&amp;TEXT(AK42,"$#,##0")&amp;". ","")&amp;IF(AND(ISNUMBER(AN42),N(AN42)&gt;D42),"Teardown/new units supports "&amp;TEXT(AN42,"$#,##0")&amp;".","")))</f>
        <v/>
      </c>
      <c r="J42" s="29" t="str">
        <f aca="false">IF(A42="","",TRIM(IF(Deals!F42="2nd","Plaintiff is 2nd: add senior mortgage to surviving liens. ",IF(Deals!F42&lt;&gt;"1st","Lien position unconfirmed. ",""))&amp;IF(N(Deals!M42)=0,"No ARV yet. ","")&amp;IF(N(Deals!G42)=0,"No building sf: rehab is allowance only. ","")&amp;IF(AND(N(Deals!S42)&gt;0,D42&gt;0,D42*(1-RTTPurchase)-SheriffCostsFromBid&lt;N(Deals!S42)),"City claims not fully paid at max bid; unpaid part is counted as cost. ","")&amp;IF(K42=1,"Occupancy assumed: +"&amp;TEXT(EjectMonths,"0")&amp;" mo and possession cost. ","")))</f>
        <v/>
      </c>
      <c r="K42" s="27" t="str">
        <f aca="false">IF(A42="","",IF(OR(Deals!Q42="Occupied",AND(Deals!Q42&lt;&gt;"Vacant",UnknownAsOccupied="Y")),1,0))</f>
        <v/>
      </c>
      <c r="L42" s="30" t="str">
        <f aca="false">IF(A42="","",IFERROR(INDEX(ScopeMonths,MATCH(Deals!O42,ScopeNames,0)),INDEX(ScopeMonths,3)))</f>
        <v/>
      </c>
      <c r="M42" s="30" t="str">
        <f aca="false">IF(A42="","",DeedMonths+K42*EjectMonths+L42+SellMonths)</f>
        <v/>
      </c>
      <c r="N42" s="30" t="str">
        <f aca="false">IF(A42="","",DeedMonths+K42*EjectMonths+L42+LeaseUpMonths)</f>
        <v/>
      </c>
      <c r="O42" s="31" t="str">
        <f aca="false">IF(A42="","",N(Deals!G42)*IFERROR(INDEX(ScopePSF,MATCH(Deals!O42,ScopeNames,0)),INDEX(ScopePSF,3))*(1+Contingency)+BlindAllowance+N(Deals!P42))</f>
        <v/>
      </c>
      <c r="P42" s="31" t="str">
        <f aca="false">IF(A42="","",IF(N(Deals!K42)&gt;0,Deals!K42,N(Deals!M42))*TaxRate/12+VacantInsMo+SecuringMo+UtilitiesMo+N(Deals!T42))</f>
        <v/>
      </c>
      <c r="Q42" s="31" t="str">
        <f aca="false">IF(A42="","",SheriffFees+PurchaseTitle+CompelDeedLegal+K42*PossessionCost+N(Deals!R42)+N(Deals!T42)*HOAArrearsMonths)</f>
        <v/>
      </c>
      <c r="R42" s="31" t="str">
        <f aca="false">IF(A42="","",N(Deals!M42)*(BrokerPct+SellerRTT+SellClosingPct+ConcessionsPct))</f>
        <v/>
      </c>
      <c r="S42" s="31" t="str">
        <f aca="false">IF(A42="","",Q42+O42+P42*M42)</f>
        <v/>
      </c>
      <c r="T42" s="31" t="str">
        <f aca="false">IF(A42="","",N(Deals!M42)-R42-S42)</f>
        <v/>
      </c>
      <c r="U42" s="31" t="str">
        <f aca="false">IF(A42="","",MIN(T42-FlipTarget,(T42-FlipMinAnnROI*M42/12*S42)/(1+FlipMinAnnROI*M42/12)))</f>
        <v/>
      </c>
      <c r="V42" s="31" t="str">
        <f aca="false">IF(A42="","",IF(N(Deals!S42)=0,MAX(0,(U42)/(1+BuyerPremium)),IF((U42)&gt;=(N(Deals!S42)+SheriffCostsFromBid)/(1-RTTPurchase)*(1+BuyerPremium),(U42)/(1+BuyerPremium),MAX(0,((U42)-N(Deals!S42)-SheriffCostsFromBid)/(BuyerPremium+RTTPurchase)))))</f>
        <v/>
      </c>
      <c r="W42" s="31" t="str">
        <f aca="false">IF(A42="","",((V42)*(1+BuyerPremium)+IF(N(Deals!S42)=0,0,MIN(N(Deals!S42),MAX(0,N(Deals!S42)+SheriffCostsFromBid-(V42)*(1-RTTPurchase)))))+S42)</f>
        <v/>
      </c>
      <c r="X42" s="31" t="str">
        <f aca="false">IF(A42="","",T42-((V42)*(1+BuyerPremium)+IF(N(Deals!S42)=0,0,MIN(N(Deals!S42),MAX(0,N(Deals!S42)+SheriffCostsFromBid-(V42)*(1-RTTPurchase))))))</f>
        <v/>
      </c>
      <c r="Y42" s="32" t="str">
        <f aca="false">IF(A42="","",IFERROR(X42/W42/(M42/12),0))</f>
        <v/>
      </c>
      <c r="Z42" s="31" t="str">
        <f aca="false">IF(A42="","",N(Deals!N42)*12*(1-Vacancy)*(1-MgmtPct-MaintPct-CapexPct)-N(Deals!M42)*TaxRate-MAX(1,N(Deals!J42))*(InsPerUnit+WaterPerUnit)-N(Deals!T42)*12)</f>
        <v/>
      </c>
      <c r="AA42" s="31" t="str">
        <f aca="false">IF(A42="","",Q42+O42+P42*N42)</f>
        <v/>
      </c>
      <c r="AB42" s="31" t="str">
        <f aca="false">IF(A42="","",MAX(0,MIN(RefiLTV*N(Deals!M42),Z42/(RefiDSCR*12*PMT(RefiRate/12,RefiTerm*12,-1)))))</f>
        <v/>
      </c>
      <c r="AC42" s="31" t="str">
        <f aca="false">IF(A42="","",Z42-AB42*12*PMT(RefiRate/12,RefiTerm*12,-1))</f>
        <v/>
      </c>
      <c r="AD42" s="31" t="str">
        <f aca="false">IF(A42="","",IF(N(Deals!S42)=0,MAX(0,(Z42/HoldTarget-AA42)/(1+BuyerPremium)),IF((Z42/HoldTarget-AA42)&gt;=(N(Deals!S42)+SheriffCostsFromBid)/(1-RTTPurchase)*(1+BuyerPremium),(Z42/HoldTarget-AA42)/(1+BuyerPremium),MAX(0,((Z42/HoldTarget-AA42)-N(Deals!S42)-SheriffCostsFromBid)/(BuyerPremium+RTTPurchase)))))</f>
        <v/>
      </c>
      <c r="AE42" s="31" t="str">
        <f aca="false">IF(A42="","",IF(AC42&lt;=0,0,IF(N(Deals!S42)=0,MAX(0,(AC42/HoldTarget+AB42*(1-RefiCostPct)-AA42)/(1+BuyerPremium)),IF((AC42/HoldTarget+AB42*(1-RefiCostPct)-AA42)&gt;=(N(Deals!S42)+SheriffCostsFromBid)/(1-RTTPurchase)*(1+BuyerPremium),(AC42/HoldTarget+AB42*(1-RefiCostPct)-AA42)/(1+BuyerPremium),MAX(0,((AC42/HoldTarget+AB42*(1-RefiCostPct)-AA42)-N(Deals!S42)-SheriffCostsFromBid)/(BuyerPremium+RTTPurchase))))))</f>
        <v/>
      </c>
      <c r="AF42" s="31" t="str">
        <f aca="false">IF(A42="","",IF(HoldMeasure="Cash-on-cash",AE42,AD42))</f>
        <v/>
      </c>
      <c r="AG42" s="31" t="str">
        <f aca="false">IF(A42="","",((AF42)*(1+BuyerPremium)+IF(N(Deals!S42)=0,0,MIN(N(Deals!S42),MAX(0,N(Deals!S42)+SheriffCostsFromBid-(AF42)*(1-RTTPurchase)))))+AA42)</f>
        <v/>
      </c>
      <c r="AH42" s="32" t="str">
        <f aca="false">IF(A42="","",IFERROR(Z42/AG42,0))</f>
        <v/>
      </c>
      <c r="AI42" s="31" t="str">
        <f aca="false">IF(A42="","",AG42-AB42*(1-RefiCostPct))</f>
        <v/>
      </c>
      <c r="AJ42" s="32" t="str">
        <f aca="false">IF(A42="","",IF(AI42&lt;=0,"All cash out",AC42/AI42))</f>
        <v/>
      </c>
      <c r="AK42" s="31" t="str">
        <f aca="false">IF(A42="","",IF(N(Deals!S42)=0,MAX(0,(T42-BuyerMarginPct*N(Deals!M42)-WholesaleMinFee)/(1+BuyerPremium)),IF((T42-BuyerMarginPct*N(Deals!M42)-WholesaleMinFee)&gt;=(N(Deals!S42)+SheriffCostsFromBid)/(1-RTTPurchase)*(1+BuyerPremium),(T42-BuyerMarginPct*N(Deals!M42)-WholesaleMinFee)/(1+BuyerPremium),MAX(0,((T42-BuyerMarginPct*N(Deals!M42)-WholesaleMinFee)-N(Deals!S42)-SheriffCostsFromBid)/(BuyerPremium+RTTPurchase)))))</f>
        <v/>
      </c>
      <c r="AL42" s="31" t="str">
        <f aca="false">IF(OR(A42="",N(Deals!U42)=0),"",Deals!U42*N(Deals!W42))</f>
        <v/>
      </c>
      <c r="AM42" s="31" t="str">
        <f aca="false">IF(AL42="","",DemoCost+N(Deals!V42)*BuildCostPSF*(1+SoftCostPct)+P42*(DeedMonths+K42*EjectMonths+BuildMonths+SellMonths)+Q42+AL42*(BrokerPct+SellerRTT+SellClosingPct+ConcessionsPct))</f>
        <v/>
      </c>
      <c r="AN42" s="31" t="str">
        <f aca="false">IF(AL42="","",IF(N(Deals!S42)=0,MAX(0,(AL42-AM42-MAX(FlipTarget,DevMarginPct*AL42))/(1+BuyerPremium)),IF((AL42-AM42-MAX(FlipTarget,DevMarginPct*AL42))&gt;=(N(Deals!S42)+SheriffCostsFromBid)/(1-RTTPurchase)*(1+BuyerPremium),(AL42-AM42-MAX(FlipTarget,DevMarginPct*AL42))/(1+BuyerPremium),MAX(0,((AL42-AM42-MAX(FlipTarget,DevMarginPct*AL42))-N(Deals!S42)-SheriffCostsFromBid)/(BuyerPremium+RTTPurchase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7" min="3" style="1" width="11"/>
  </cols>
  <sheetData>
    <row r="1" customFormat="false" ht="15" hidden="false" customHeight="true" outlineLevel="0" collapsed="false">
      <c r="A1" s="23" t="s">
        <v>229</v>
      </c>
    </row>
    <row r="2" customFormat="false" ht="18" hidden="false" customHeight="true" outlineLevel="0" collapsed="false">
      <c r="F2" s="23" t="s">
        <v>230</v>
      </c>
      <c r="J2" s="33" t="n">
        <v>0.2</v>
      </c>
      <c r="N2" s="33" t="n">
        <v>0.3</v>
      </c>
      <c r="R2" s="33" t="n">
        <v>0.4</v>
      </c>
      <c r="V2" s="33" t="n">
        <v>0.5</v>
      </c>
      <c r="Z2" s="33" t="n">
        <v>0.6</v>
      </c>
      <c r="AD2" s="33" t="n">
        <v>0.7</v>
      </c>
      <c r="AH2" s="23" t="s">
        <v>231</v>
      </c>
    </row>
    <row r="3" customFormat="false" ht="45" hidden="false" customHeight="true" outlineLevel="0" collapsed="false">
      <c r="A3" s="11" t="s">
        <v>137</v>
      </c>
      <c r="B3" s="11" t="s">
        <v>138</v>
      </c>
      <c r="C3" s="11" t="s">
        <v>149</v>
      </c>
      <c r="D3" s="11" t="s">
        <v>140</v>
      </c>
      <c r="E3" s="11" t="s">
        <v>232</v>
      </c>
      <c r="F3" s="11" t="s">
        <v>233</v>
      </c>
      <c r="G3" s="11" t="s">
        <v>234</v>
      </c>
      <c r="H3" s="11" t="s">
        <v>235</v>
      </c>
      <c r="I3" s="11" t="s">
        <v>236</v>
      </c>
      <c r="J3" s="11" t="s">
        <v>233</v>
      </c>
      <c r="K3" s="11" t="s">
        <v>234</v>
      </c>
      <c r="L3" s="11" t="s">
        <v>235</v>
      </c>
      <c r="M3" s="11" t="s">
        <v>236</v>
      </c>
      <c r="N3" s="11" t="s">
        <v>233</v>
      </c>
      <c r="O3" s="11" t="s">
        <v>234</v>
      </c>
      <c r="P3" s="11" t="s">
        <v>235</v>
      </c>
      <c r="Q3" s="11" t="s">
        <v>236</v>
      </c>
      <c r="R3" s="11" t="s">
        <v>233</v>
      </c>
      <c r="S3" s="11" t="s">
        <v>234</v>
      </c>
      <c r="T3" s="11" t="s">
        <v>235</v>
      </c>
      <c r="U3" s="11" t="s">
        <v>236</v>
      </c>
      <c r="V3" s="11" t="s">
        <v>233</v>
      </c>
      <c r="W3" s="11" t="s">
        <v>234</v>
      </c>
      <c r="X3" s="11" t="s">
        <v>235</v>
      </c>
      <c r="Y3" s="11" t="s">
        <v>236</v>
      </c>
      <c r="Z3" s="11" t="s">
        <v>233</v>
      </c>
      <c r="AA3" s="11" t="s">
        <v>234</v>
      </c>
      <c r="AB3" s="11" t="s">
        <v>235</v>
      </c>
      <c r="AC3" s="11" t="s">
        <v>236</v>
      </c>
      <c r="AD3" s="11" t="s">
        <v>233</v>
      </c>
      <c r="AE3" s="11" t="s">
        <v>234</v>
      </c>
      <c r="AF3" s="11" t="s">
        <v>235</v>
      </c>
      <c r="AG3" s="11" t="s">
        <v>236</v>
      </c>
      <c r="AH3" s="11" t="s">
        <v>233</v>
      </c>
      <c r="AI3" s="11" t="s">
        <v>234</v>
      </c>
      <c r="AJ3" s="11" t="s">
        <v>235</v>
      </c>
      <c r="AK3" s="11" t="s">
        <v>236</v>
      </c>
    </row>
    <row r="4" customFormat="false" ht="15" hidden="false" customHeight="true" outlineLevel="0" collapsed="false">
      <c r="A4" s="1" t="str">
        <f aca="false">Underwriting!$A3</f>
        <v>1318974-0</v>
      </c>
      <c r="B4" s="1" t="str">
        <f aca="false">Underwriting!$B3</f>
        <v>0 Bench screen (ARV 354k, Heavy, occupied)</v>
      </c>
      <c r="C4" s="31" t="n">
        <f aca="false">IF(Underwriting!$A3="","",N(Deals!M3))</f>
        <v>354000</v>
      </c>
      <c r="D4" s="31" t="n">
        <f aca="false">IF(Underwriting!$A3="","",N(Deals!D3))</f>
        <v>24700</v>
      </c>
      <c r="E4" s="31" t="n">
        <f aca="false">IF(Underwriting!$A3="","",Underwriting!$D3)</f>
        <v>116429.489064039</v>
      </c>
      <c r="F4" s="31" t="n">
        <f aca="false">IF(Underwriting!$A3="","",$D4)</f>
        <v>24700</v>
      </c>
      <c r="G4" s="31" t="n">
        <f aca="false">IF(Underwriting!$A3="","",Underwriting!$T3-((F4)*(1+BuyerPremium)+IF(N(Deals!S3)=0,0,MIN(N(Deals!S3),MAX(0,N(Deals!S3)+SheriffCostsFromBid-(F4)*(1-RTTPurchase))))))</f>
        <v>176357.9714</v>
      </c>
      <c r="H4" s="32" t="n">
        <f aca="false">IF(Underwriting!$A3="","",IFERROR(G4/(((F4)*(1+BuyerPremium)+IF(N(Deals!S3)=0,0,MIN(N(Deals!S3),MAX(0,N(Deals!S3)+SheriffCostsFromBid-(F4)*(1-RTTPurchase)))))+Underwriting!$S3)/(Underwriting!$M3/12),0))</f>
        <v>0.522123005391855</v>
      </c>
      <c r="I4" s="32" t="n">
        <f aca="false">IF(Underwriting!$A3="","",IFERROR(Underwriting!$Z3/(((F4)*(1+BuyerPremium)+IF(N(Deals!S3)=0,0,MIN(N(Deals!S3),MAX(0,N(Deals!S3)+SheriffCostsFromBid-(F4)*(1-RTTPurchase)))))+Underwriting!$AA3),0))</f>
        <v>0.113592885650392</v>
      </c>
      <c r="J4" s="31" t="n">
        <f aca="false">IF(Underwriting!$A3="","",ROUND(J$2*$C4,-3))</f>
        <v>71000</v>
      </c>
      <c r="K4" s="31" t="n">
        <f aca="false">IF(Underwriting!$A3="","",Underwriting!$T3-((J4)*(1+BuyerPremium)+IF(N(Deals!S3)=0,0,MIN(N(Deals!S3),MAX(0,N(Deals!S3)+SheriffCostsFromBid-(J4)*(1-RTTPurchase))))))</f>
        <v>129363.4714</v>
      </c>
      <c r="L4" s="32" t="n">
        <f aca="false">IF(Underwriting!$A3="","",IFERROR(K4/(((J4)*(1+BuyerPremium)+IF(N(Deals!S3)=0,0,MIN(N(Deals!S3),MAX(0,N(Deals!S3)+SheriffCostsFromBid-(J4)*(1-RTTPurchase)))))+Underwriting!$S3)/(Underwriting!$M3/12),0))</f>
        <v>0.289128995410814</v>
      </c>
      <c r="M4" s="32" t="n">
        <f aca="false">IF(Underwriting!$A3="","",IFERROR(Underwriting!$Z3/(((J4)*(1+BuyerPremium)+IF(N(Deals!S3)=0,0,MIN(N(Deals!S3),MAX(0,N(Deals!S3)+SheriffCostsFromBid-(J4)*(1-RTTPurchase)))))+Underwriting!$AA3),0))</f>
        <v>0.0856433464157951</v>
      </c>
      <c r="N4" s="31" t="n">
        <f aca="false">IF(Underwriting!$A3="","",ROUND(N$2*$C4,-3))</f>
        <v>106000</v>
      </c>
      <c r="O4" s="31" t="n">
        <f aca="false">IF(Underwriting!$A3="","",Underwriting!$T3-((N4)*(1+BuyerPremium)+IF(N(Deals!S3)=0,0,MIN(N(Deals!S3),MAX(0,N(Deals!S3)+SheriffCostsFromBid-(N4)*(1-RTTPurchase))))))</f>
        <v>93838.4714</v>
      </c>
      <c r="P4" s="32" t="n">
        <f aca="false">IF(Underwriting!$A3="","",IFERROR(O4/(((N4)*(1+BuyerPremium)+IF(N(Deals!S3)=0,0,MIN(N(Deals!S3),MAX(0,N(Deals!S3)+SheriffCostsFromBid-(N4)*(1-RTTPurchase)))))+Underwriting!$S3)/(Underwriting!$M3/12),0))</f>
        <v>0.176948076034586</v>
      </c>
      <c r="Q4" s="32" t="n">
        <f aca="false">IF(Underwriting!$A3="","",IFERROR(Underwriting!$Z3/(((N4)*(1+BuyerPremium)+IF(N(Deals!S3)=0,0,MIN(N(Deals!S3),MAX(0,N(Deals!S3)+SheriffCostsFromBid-(N4)*(1-RTTPurchase)))))+Underwriting!$AA3),0))</f>
        <v>0.0722119896520532</v>
      </c>
      <c r="R4" s="31" t="n">
        <f aca="false">IF(Underwriting!$A3="","",ROUND(R$2*$C4,-3))</f>
        <v>142000</v>
      </c>
      <c r="S4" s="31" t="n">
        <f aca="false">IF(Underwriting!$A3="","",Underwriting!$T3-((R4)*(1+BuyerPremium)+IF(N(Deals!S3)=0,0,MIN(N(Deals!S3),MAX(0,N(Deals!S3)+SheriffCostsFromBid-(R4)*(1-RTTPurchase))))))</f>
        <v>57298.4714</v>
      </c>
      <c r="T4" s="32" t="n">
        <f aca="false">IF(Underwriting!$A3="","",IFERROR(S4/(((R4)*(1+BuyerPremium)+IF(N(Deals!S3)=0,0,MIN(N(Deals!S3),MAX(0,N(Deals!S3)+SheriffCostsFromBid-(R4)*(1-RTTPurchase)))))+Underwriting!$S3)/(Underwriting!$M3/12),0))</f>
        <v>0.0930810032867318</v>
      </c>
      <c r="U4" s="32" t="n">
        <f aca="false">IF(Underwriting!$A3="","",IFERROR(Underwriting!$Z3/(((R4)*(1+BuyerPremium)+IF(N(Deals!S3)=0,0,MIN(N(Deals!S3),MAX(0,N(Deals!S3)+SheriffCostsFromBid-(R4)*(1-RTTPurchase)))))+Underwriting!$AA3),0))</f>
        <v>0.0621815045152846</v>
      </c>
      <c r="V4" s="31" t="n">
        <f aca="false">IF(Underwriting!$A3="","",ROUND(V$2*$C4,-3))</f>
        <v>177000</v>
      </c>
      <c r="W4" s="31" t="n">
        <f aca="false">IF(Underwriting!$A3="","",Underwriting!$T3-((V4)*(1+BuyerPremium)+IF(N(Deals!S3)=0,0,MIN(N(Deals!S3),MAX(0,N(Deals!S3)+SheriffCostsFromBid-(V4)*(1-RTTPurchase))))))</f>
        <v>21773.4714</v>
      </c>
      <c r="X4" s="32" t="n">
        <f aca="false">IF(Underwriting!$A3="","",IFERROR(W4/(((V4)*(1+BuyerPremium)+IF(N(Deals!S3)=0,0,MIN(N(Deals!S3),MAX(0,N(Deals!S3)+SheriffCostsFromBid-(V4)*(1-RTTPurchase)))))+Underwriting!$S3)/(Underwriting!$M3/12),0))</f>
        <v>0.031173179713924</v>
      </c>
      <c r="Y4" s="32" t="n">
        <f aca="false">IF(Underwriting!$A3="","",IFERROR(Underwriting!$Z3/(((V4)*(1+BuyerPremium)+IF(N(Deals!S3)=0,0,MIN(N(Deals!S3),MAX(0,N(Deals!S3)+SheriffCostsFromBid-(V4)*(1-RTTPurchase)))))+Underwriting!$AA3),0))</f>
        <v>0.0547832995833849</v>
      </c>
      <c r="Z4" s="31" t="n">
        <f aca="false">IF(Underwriting!$A3="","",ROUND(Z$2*$C4,-3))</f>
        <v>212000</v>
      </c>
      <c r="AA4" s="31" t="n">
        <f aca="false">IF(Underwriting!$A3="","",Underwriting!$T3-((Z4)*(1+BuyerPremium)+IF(N(Deals!S3)=0,0,MIN(N(Deals!S3),MAX(0,N(Deals!S3)+SheriffCostsFromBid-(Z4)*(1-RTTPurchase))))))</f>
        <v>-13751.5286</v>
      </c>
      <c r="AB4" s="32" t="n">
        <f aca="false">IF(Underwriting!$A3="","",IFERROR(AA4/(((Z4)*(1+BuyerPremium)+IF(N(Deals!S3)=0,0,MIN(N(Deals!S3),MAX(0,N(Deals!S3)+SheriffCostsFromBid-(Z4)*(1-RTTPurchase)))))+Underwriting!$S3)/(Underwriting!$M3/12),0))</f>
        <v>-0.0175994840057116</v>
      </c>
      <c r="AC4" s="32" t="n">
        <f aca="false">IF(Underwriting!$A3="","",IFERROR(Underwriting!$Z3/(((Z4)*(1+BuyerPremium)+IF(N(Deals!S3)=0,0,MIN(N(Deals!S3),MAX(0,N(Deals!S3)+SheriffCostsFromBid-(Z4)*(1-RTTPurchase)))))+Underwriting!$AA3),0))</f>
        <v>0.0489583531962318</v>
      </c>
      <c r="AD4" s="31" t="n">
        <f aca="false">IF(Underwriting!$A3="","",ROUND(AD$2*$C4,-3))</f>
        <v>248000</v>
      </c>
      <c r="AE4" s="31" t="n">
        <f aca="false">IF(Underwriting!$A3="","",Underwriting!$T3-((AD4)*(1+BuyerPremium)+IF(N(Deals!S3)=0,0,MIN(N(Deals!S3),MAX(0,N(Deals!S3)+SheriffCostsFromBid-(AD4)*(1-RTTPurchase))))))</f>
        <v>-50291.5286</v>
      </c>
      <c r="AF4" s="32" t="n">
        <f aca="false">IF(Underwriting!$A3="","",IFERROR(AE4/(((AD4)*(1+BuyerPremium)+IF(N(Deals!S3)=0,0,MIN(N(Deals!S3),MAX(0,N(Deals!S3)+SheriffCostsFromBid-(AD4)*(1-RTTPurchase)))))+Underwriting!$S3)/(Underwriting!$M3/12),0))</f>
        <v>-0.0580318277027646</v>
      </c>
      <c r="AG4" s="32" t="n">
        <f aca="false">IF(Underwriting!$A3="","",IFERROR(Underwriting!$Z3/(((AD4)*(1+BuyerPremium)+IF(N(Deals!S3)=0,0,MIN(N(Deals!S3),MAX(0,N(Deals!S3)+SheriffCostsFromBid-(AD4)*(1-RTTPurchase)))))+Underwriting!$AA3),0))</f>
        <v>0.0441318726603346</v>
      </c>
      <c r="AH4" s="31" t="n">
        <f aca="false">IF(Underwriting!$A3="","",$E4)</f>
        <v>116429.489064039</v>
      </c>
      <c r="AI4" s="31" t="n">
        <f aca="false">IF(Underwriting!$A3="","",Underwriting!$T3-((AH4)*(1+BuyerPremium)+IF(N(Deals!S3)=0,0,MIN(N(Deals!S3),MAX(0,N(Deals!S3)+SheriffCostsFromBid-(AH4)*(1-RTTPurchase))))))</f>
        <v>83252.54</v>
      </c>
      <c r="AJ4" s="32" t="n">
        <f aca="false">IF(Underwriting!$A3="","",IFERROR(AI4/(((AH4)*(1+BuyerPremium)+IF(N(Deals!S3)=0,0,MIN(N(Deals!S3),MAX(0,N(Deals!S3)+SheriffCostsFromBid-(AH4)*(1-RTTPurchase)))))+Underwriting!$S3)/(Underwriting!$M3/12),0))</f>
        <v>0.15</v>
      </c>
      <c r="AK4" s="32" t="n">
        <f aca="false">IF(Underwriting!$A3="","",IFERROR(Underwriting!$Z3/(((AH4)*(1+BuyerPremium)+IF(N(Deals!S3)=0,0,MIN(N(Deals!S3),MAX(0,N(Deals!S3)+SheriffCostsFromBid-(AH4)*(1-RTTPurchase)))))+Underwriting!$AA3),0))</f>
        <v>0.0689879917683463</v>
      </c>
    </row>
    <row r="5" customFormat="false" ht="15" hidden="false" customHeight="true" outlineLevel="0" collapsed="false">
      <c r="A5" s="1" t="str">
        <f aca="false">Underwriting!$A4</f>
        <v>1318974-1</v>
      </c>
      <c r="B5" s="1" t="str">
        <f aca="false">Underwriting!$B4</f>
        <v>1 Base: ARV 395k, Medium (+$8k roof/front), occupied</v>
      </c>
      <c r="C5" s="31" t="n">
        <f aca="false">IF(Underwriting!$A4="","",N(Deals!M4))</f>
        <v>395000</v>
      </c>
      <c r="D5" s="31" t="n">
        <f aca="false">IF(Underwriting!$A4="","",N(Deals!D4))</f>
        <v>24700</v>
      </c>
      <c r="E5" s="31" t="n">
        <f aca="false">IF(Underwriting!$A4="","",Underwriting!$D4)</f>
        <v>166944.441377451</v>
      </c>
      <c r="F5" s="31" t="n">
        <f aca="false">IF(Underwriting!$A4="","",$D5)</f>
        <v>24700</v>
      </c>
      <c r="G5" s="31" t="n">
        <f aca="false">IF(Underwriting!$A4="","",Underwriting!$T4-((F5)*(1+BuyerPremium)+IF(N(Deals!S4)=0,0,MIN(N(Deals!S4),MAX(0,N(Deals!S4)+SheriffCostsFromBid-(F5)*(1-RTTPurchase))))))</f>
        <v>232265.0863</v>
      </c>
      <c r="H5" s="32" t="n">
        <f aca="false">IF(Underwriting!$A4="","",IFERROR(G5/(((F5)*(1+BuyerPremium)+IF(N(Deals!S4)=0,0,MIN(N(Deals!S4),MAX(0,N(Deals!S4)+SheriffCostsFromBid-(F5)*(1-RTTPurchase)))))+Underwriting!$S4)/(Underwriting!$M4/12),0))</f>
        <v>0.850495158595962</v>
      </c>
      <c r="I5" s="32" t="n">
        <f aca="false">IF(Underwriting!$A4="","",IFERROR(Underwriting!$Z4/(((F5)*(1+BuyerPremium)+IF(N(Deals!S4)=0,0,MIN(N(Deals!S4),MAX(0,N(Deals!S4)+SheriffCostsFromBid-(F5)*(1-RTTPurchase)))))+Underwriting!$AA4),0))</f>
        <v>0.125980917852974</v>
      </c>
      <c r="J5" s="31" t="n">
        <f aca="false">IF(Underwriting!$A4="","",ROUND(J$2*$C5,-3))</f>
        <v>79000</v>
      </c>
      <c r="K5" s="31" t="n">
        <f aca="false">IF(Underwriting!$A4="","",Underwriting!$T4-((J5)*(1+BuyerPremium)+IF(N(Deals!S4)=0,0,MIN(N(Deals!S4),MAX(0,N(Deals!S4)+SheriffCostsFromBid-(J5)*(1-RTTPurchase))))))</f>
        <v>177150.5863</v>
      </c>
      <c r="L5" s="32" t="n">
        <f aca="false">IF(Underwriting!$A4="","",IFERROR(K5/(((J5)*(1+BuyerPremium)+IF(N(Deals!S4)=0,0,MIN(N(Deals!S4),MAX(0,N(Deals!S4)+SheriffCostsFromBid-(J5)*(1-RTTPurchase)))))+Underwriting!$S4)/(Underwriting!$M4/12),0))</f>
        <v>0.45132906400871</v>
      </c>
      <c r="M5" s="32" t="n">
        <f aca="false">IF(Underwriting!$A4="","",IFERROR(Underwriting!$Z4/(((J5)*(1+BuyerPremium)+IF(N(Deals!S4)=0,0,MIN(N(Deals!S4),MAX(0,N(Deals!S4)+SheriffCostsFromBid-(J5)*(1-RTTPurchase)))))+Underwriting!$AA4),0))</f>
        <v>0.0874921543298534</v>
      </c>
      <c r="N5" s="31" t="n">
        <f aca="false">IF(Underwriting!$A4="","",ROUND(N$2*$C5,-3))</f>
        <v>119000</v>
      </c>
      <c r="O5" s="31" t="n">
        <f aca="false">IF(Underwriting!$A4="","",Underwriting!$T4-((N5)*(1+BuyerPremium)+IF(N(Deals!S4)=0,0,MIN(N(Deals!S4),MAX(0,N(Deals!S4)+SheriffCostsFromBid-(N5)*(1-RTTPurchase))))))</f>
        <v>136550.5863</v>
      </c>
      <c r="P5" s="32" t="n">
        <f aca="false">IF(Underwriting!$A4="","",IFERROR(O5/(((N5)*(1+BuyerPremium)+IF(N(Deals!S4)=0,0,MIN(N(Deals!S4),MAX(0,N(Deals!S4)+SheriffCostsFromBid-(N5)*(1-RTTPurchase)))))+Underwriting!$S4)/(Underwriting!$M4/12),0))</f>
        <v>0.284198929731469</v>
      </c>
      <c r="Q5" s="32" t="n">
        <f aca="false">IF(Underwriting!$A4="","",IFERROR(Underwriting!$Z4/(((N5)*(1+BuyerPremium)+IF(N(Deals!S4)=0,0,MIN(N(Deals!S4),MAX(0,N(Deals!S4)+SheriffCostsFromBid-(N5)*(1-RTTPurchase)))))+Underwriting!$AA4),0))</f>
        <v>0.0714189394823075</v>
      </c>
      <c r="R5" s="31" t="n">
        <f aca="false">IF(Underwriting!$A4="","",ROUND(R$2*$C5,-3))</f>
        <v>158000</v>
      </c>
      <c r="S5" s="31" t="n">
        <f aca="false">IF(Underwriting!$A4="","",Underwriting!$T4-((R5)*(1+BuyerPremium)+IF(N(Deals!S4)=0,0,MIN(N(Deals!S4),MAX(0,N(Deals!S4)+SheriffCostsFromBid-(R5)*(1-RTTPurchase))))))</f>
        <v>96965.5863000001</v>
      </c>
      <c r="T5" s="32" t="n">
        <f aca="false">IF(Underwriting!$A4="","",IFERROR(S5/(((R5)*(1+BuyerPremium)+IF(N(Deals!S4)=0,0,MIN(N(Deals!S4),MAX(0,N(Deals!S4)+SheriffCostsFromBid-(R5)*(1-RTTPurchase)))))+Underwriting!$S4)/(Underwriting!$M4/12),0))</f>
        <v>0.171243809337186</v>
      </c>
      <c r="U5" s="32" t="n">
        <f aca="false">IF(Underwriting!$A4="","",IFERROR(Underwriting!$Z4/(((R5)*(1+BuyerPremium)+IF(N(Deals!S4)=0,0,MIN(N(Deals!S4),MAX(0,N(Deals!S4)+SheriffCostsFromBid-(R5)*(1-RTTPurchase)))))+Underwriting!$AA4),0))</f>
        <v>0.0605698190229621</v>
      </c>
      <c r="V5" s="31" t="n">
        <f aca="false">IF(Underwriting!$A4="","",ROUND(V$2*$C5,-3))</f>
        <v>198000</v>
      </c>
      <c r="W5" s="31" t="n">
        <f aca="false">IF(Underwriting!$A4="","",Underwriting!$T4-((V5)*(1+BuyerPremium)+IF(N(Deals!S4)=0,0,MIN(N(Deals!S4),MAX(0,N(Deals!S4)+SheriffCostsFromBid-(V5)*(1-RTTPurchase))))))</f>
        <v>56365.5863000001</v>
      </c>
      <c r="X5" s="32" t="n">
        <f aca="false">IF(Underwriting!$A4="","",IFERROR(W5/(((V5)*(1+BuyerPremium)+IF(N(Deals!S4)=0,0,MIN(N(Deals!S4),MAX(0,N(Deals!S4)+SheriffCostsFromBid-(V5)*(1-RTTPurchase)))))+Underwriting!$S4)/(Underwriting!$M4/12),0))</f>
        <v>0.0861583071241681</v>
      </c>
      <c r="Y5" s="32" t="n">
        <f aca="false">IF(Underwriting!$A4="","",IFERROR(Underwriting!$Z4/(((V5)*(1+BuyerPremium)+IF(N(Deals!S4)=0,0,MIN(N(Deals!S4),MAX(0,N(Deals!S4)+SheriffCostsFromBid-(V5)*(1-RTTPurchase)))))+Underwriting!$AA4),0))</f>
        <v>0.0524049563895826</v>
      </c>
      <c r="Z5" s="31" t="n">
        <f aca="false">IF(Underwriting!$A4="","",ROUND(Z$2*$C5,-3))</f>
        <v>237000</v>
      </c>
      <c r="AA5" s="31" t="n">
        <f aca="false">IF(Underwriting!$A4="","",Underwriting!$T4-((Z5)*(1+BuyerPremium)+IF(N(Deals!S4)=0,0,MIN(N(Deals!S4),MAX(0,N(Deals!S4)+SheriffCostsFromBid-(Z5)*(1-RTTPurchase))))))</f>
        <v>16780.5863000001</v>
      </c>
      <c r="AB5" s="32" t="n">
        <f aca="false">IF(Underwriting!$A4="","",IFERROR(AA5/(((Z5)*(1+BuyerPremium)+IF(N(Deals!S4)=0,0,MIN(N(Deals!S4),MAX(0,N(Deals!S4)+SheriffCostsFromBid-(Z5)*(1-RTTPurchase)))))+Underwriting!$S4)/(Underwriting!$M4/12),0))</f>
        <v>0.0226771716389693</v>
      </c>
      <c r="AC5" s="32" t="n">
        <f aca="false">IF(Underwriting!$A4="","",IFERROR(Underwriting!$Z4/(((Z5)*(1+BuyerPremium)+IF(N(Deals!S4)=0,0,MIN(N(Deals!S4),MAX(0,N(Deals!S4)+SheriffCostsFromBid-(Z5)*(1-RTTPurchase)))))+Underwriting!$AA4),0))</f>
        <v>0.04631741985227</v>
      </c>
      <c r="AD5" s="31" t="n">
        <f aca="false">IF(Underwriting!$A4="","",ROUND(AD$2*$C5,-3))</f>
        <v>277000</v>
      </c>
      <c r="AE5" s="31" t="n">
        <f aca="false">IF(Underwriting!$A4="","",Underwriting!$T4-((AD5)*(1+BuyerPremium)+IF(N(Deals!S4)=0,0,MIN(N(Deals!S4),MAX(0,N(Deals!S4)+SheriffCostsFromBid-(AD5)*(1-RTTPurchase))))))</f>
        <v>-23819.4137</v>
      </c>
      <c r="AF5" s="32" t="n">
        <f aca="false">IF(Underwriting!$A4="","",IFERROR(AE5/(((AD5)*(1+BuyerPremium)+IF(N(Deals!S4)=0,0,MIN(N(Deals!S4),MAX(0,N(Deals!S4)+SheriffCostsFromBid-(AD5)*(1-RTTPurchase)))))+Underwriting!$S4)/(Underwriting!$M4/12),0))</f>
        <v>-0.0287693638652767</v>
      </c>
      <c r="AG5" s="32" t="n">
        <f aca="false">IF(Underwriting!$A4="","",IFERROR(Underwriting!$Z4/(((AD5)*(1+BuyerPremium)+IF(N(Deals!S4)=0,0,MIN(N(Deals!S4),MAX(0,N(Deals!S4)+SheriffCostsFromBid-(AD5)*(1-RTTPurchase)))))+Underwriting!$AA4),0))</f>
        <v>0.0413865470935679</v>
      </c>
      <c r="AH5" s="31" t="n">
        <f aca="false">IF(Underwriting!$A4="","",$E5)</f>
        <v>166944.441377451</v>
      </c>
      <c r="AI5" s="31" t="n">
        <f aca="false">IF(Underwriting!$A4="","",Underwriting!$T4-((AH5)*(1+BuyerPremium)+IF(N(Deals!S4)=0,0,MIN(N(Deals!S4),MAX(0,N(Deals!S4)+SheriffCostsFromBid-(AH5)*(1-RTTPurchase))))))</f>
        <v>87886.9783018868</v>
      </c>
      <c r="AJ5" s="32" t="n">
        <f aca="false">IF(Underwriting!$A4="","",IFERROR(AI5/(((AH5)*(1+BuyerPremium)+IF(N(Deals!S4)=0,0,MIN(N(Deals!S4),MAX(0,N(Deals!S4)+SheriffCostsFromBid-(AH5)*(1-RTTPurchase)))))+Underwriting!$S4)/(Underwriting!$M4/12),0))</f>
        <v>0.15</v>
      </c>
      <c r="AK5" s="32" t="n">
        <f aca="false">IF(Underwriting!$A4="","",IFERROR(Underwriting!$Z4/(((AH5)*(1+BuyerPremium)+IF(N(Deals!S4)=0,0,MIN(N(Deals!S4),MAX(0,N(Deals!S4)+SheriffCostsFromBid-(AH5)*(1-RTTPurchase)))))+Underwriting!$AA4),0))</f>
        <v>0.0585306505841459</v>
      </c>
    </row>
    <row r="6" customFormat="false" ht="15" hidden="false" customHeight="true" outlineLevel="0" collapsed="false">
      <c r="A6" s="1" t="str">
        <f aca="false">Underwriting!$A5</f>
        <v>1318974-2</v>
      </c>
      <c r="B6" s="1" t="str">
        <f aca="false">Underwriting!$B5</f>
        <v>2 Base but vacant at deed</v>
      </c>
      <c r="C6" s="31" t="n">
        <f aca="false">IF(Underwriting!$A5="","",N(Deals!M5))</f>
        <v>395000</v>
      </c>
      <c r="D6" s="31" t="n">
        <f aca="false">IF(Underwriting!$A5="","",N(Deals!D5))</f>
        <v>24700</v>
      </c>
      <c r="E6" s="31" t="n">
        <f aca="false">IF(Underwriting!$A5="","",Underwriting!$D5)</f>
        <v>204518.472687242</v>
      </c>
      <c r="F6" s="31" t="n">
        <f aca="false">IF(Underwriting!$A5="","",$D6)</f>
        <v>24700</v>
      </c>
      <c r="G6" s="31" t="n">
        <f aca="false">IF(Underwriting!$A5="","",Underwriting!$T5-((F6)*(1+BuyerPremium)+IF(N(Deals!S5)=0,0,MIN(N(Deals!S5),MAX(0,N(Deals!S5)+SheriffCostsFromBid-(F6)*(1-RTTPurchase))))))</f>
        <v>248327.5059</v>
      </c>
      <c r="H6" s="32" t="n">
        <f aca="false">IF(Underwriting!$A5="","",IFERROR(G6/(((F6)*(1+BuyerPremium)+IF(N(Deals!S5)=0,0,MIN(N(Deals!S5),MAX(0,N(Deals!S5)+SheriffCostsFromBid-(F6)*(1-RTTPurchase)))))+Underwriting!$S5)/(Underwriting!$M5/12),0))</f>
        <v>1.50527595443691</v>
      </c>
      <c r="I6" s="32" t="n">
        <f aca="false">IF(Underwriting!$A5="","",IFERROR(Underwriting!$Z5/(((F6)*(1+BuyerPremium)+IF(N(Deals!S5)=0,0,MIN(N(Deals!S5),MAX(0,N(Deals!S5)+SheriffCostsFromBid-(F6)*(1-RTTPurchase)))))+Underwriting!$AA5),0))</f>
        <v>0.144507745900385</v>
      </c>
      <c r="J6" s="31" t="n">
        <f aca="false">IF(Underwriting!$A5="","",ROUND(J$2*$C6,-3))</f>
        <v>79000</v>
      </c>
      <c r="K6" s="31" t="n">
        <f aca="false">IF(Underwriting!$A5="","",Underwriting!$T5-((J6)*(1+BuyerPremium)+IF(N(Deals!S5)=0,0,MIN(N(Deals!S5),MAX(0,N(Deals!S5)+SheriffCostsFromBid-(J6)*(1-RTTPurchase))))))</f>
        <v>193213.0059</v>
      </c>
      <c r="L6" s="32" t="n">
        <f aca="false">IF(Underwriting!$A5="","",IFERROR(K6/(((J6)*(1+BuyerPremium)+IF(N(Deals!S5)=0,0,MIN(N(Deals!S5),MAX(0,N(Deals!S5)+SheriffCostsFromBid-(J6)*(1-RTTPurchase)))))+Underwriting!$S5)/(Underwriting!$M5/12),0))</f>
        <v>0.780207299493857</v>
      </c>
      <c r="M6" s="32" t="n">
        <f aca="false">IF(Underwriting!$A5="","",IFERROR(Underwriting!$Z5/(((J6)*(1+BuyerPremium)+IF(N(Deals!S5)=0,0,MIN(N(Deals!S5),MAX(0,N(Deals!S5)+SheriffCostsFromBid-(J6)*(1-RTTPurchase)))))+Underwriting!$AA5),0))</f>
        <v>0.0960436686417545</v>
      </c>
      <c r="N6" s="31" t="n">
        <f aca="false">IF(Underwriting!$A5="","",ROUND(N$2*$C6,-3))</f>
        <v>119000</v>
      </c>
      <c r="O6" s="31" t="n">
        <f aca="false">IF(Underwriting!$A5="","",Underwriting!$T5-((N6)*(1+BuyerPremium)+IF(N(Deals!S5)=0,0,MIN(N(Deals!S5),MAX(0,N(Deals!S5)+SheriffCostsFromBid-(N6)*(1-RTTPurchase))))))</f>
        <v>152613.0059</v>
      </c>
      <c r="P6" s="32" t="n">
        <f aca="false">IF(Underwriting!$A5="","",IFERROR(O6/(((N6)*(1+BuyerPremium)+IF(N(Deals!S5)=0,0,MIN(N(Deals!S5),MAX(0,N(Deals!S5)+SheriffCostsFromBid-(N6)*(1-RTTPurchase)))))+Underwriting!$S5)/(Underwriting!$M5/12),0))</f>
        <v>0.494624489027919</v>
      </c>
      <c r="Q6" s="32" t="n">
        <f aca="false">IF(Underwriting!$A5="","",IFERROR(Underwriting!$Z5/(((N6)*(1+BuyerPremium)+IF(N(Deals!S5)=0,0,MIN(N(Deals!S5),MAX(0,N(Deals!S5)+SheriffCostsFromBid-(N6)*(1-RTTPurchase)))))+Underwriting!$AA5),0))</f>
        <v>0.0770165493899642</v>
      </c>
      <c r="R6" s="31" t="n">
        <f aca="false">IF(Underwriting!$A5="","",ROUND(R$2*$C6,-3))</f>
        <v>158000</v>
      </c>
      <c r="S6" s="31" t="n">
        <f aca="false">IF(Underwriting!$A5="","",Underwriting!$T5-((R6)*(1+BuyerPremium)+IF(N(Deals!S5)=0,0,MIN(N(Deals!S5),MAX(0,N(Deals!S5)+SheriffCostsFromBid-(R6)*(1-RTTPurchase))))))</f>
        <v>113028.0059</v>
      </c>
      <c r="T6" s="32" t="n">
        <f aca="false">IF(Underwriting!$A5="","",IFERROR(S6/(((R6)*(1+BuyerPremium)+IF(N(Deals!S5)=0,0,MIN(N(Deals!S5),MAX(0,N(Deals!S5)+SheriffCostsFromBid-(R6)*(1-RTTPurchase)))))+Underwriting!$S5)/(Underwriting!$M5/12),0))</f>
        <v>0.307207548526015</v>
      </c>
      <c r="U6" s="32" t="n">
        <f aca="false">IF(Underwriting!$A5="","",IFERROR(Underwriting!$Z5/(((R6)*(1+BuyerPremium)+IF(N(Deals!S5)=0,0,MIN(N(Deals!S5),MAX(0,N(Deals!S5)+SheriffCostsFromBid-(R6)*(1-RTTPurchase)))))+Underwriting!$AA5),0))</f>
        <v>0.0645485828776216</v>
      </c>
      <c r="V6" s="31" t="n">
        <f aca="false">IF(Underwriting!$A5="","",ROUND(V$2*$C6,-3))</f>
        <v>198000</v>
      </c>
      <c r="W6" s="31" t="n">
        <f aca="false">IF(Underwriting!$A5="","",Underwriting!$T5-((V6)*(1+BuyerPremium)+IF(N(Deals!S5)=0,0,MIN(N(Deals!S5),MAX(0,N(Deals!S5)+SheriffCostsFromBid-(V6)*(1-RTTPurchase))))))</f>
        <v>72428.0059</v>
      </c>
      <c r="X6" s="32" t="n">
        <f aca="false">IF(Underwriting!$A5="","",IFERROR(W6/(((V6)*(1+BuyerPremium)+IF(N(Deals!S5)=0,0,MIN(N(Deals!S5),MAX(0,N(Deals!S5)+SheriffCostsFromBid-(V6)*(1-RTTPurchase)))))+Underwriting!$S5)/(Underwriting!$M5/12),0))</f>
        <v>0.16890045563864</v>
      </c>
      <c r="Y6" s="32" t="n">
        <f aca="false">IF(Underwriting!$A5="","",IFERROR(Underwriting!$Z5/(((V6)*(1+BuyerPremium)+IF(N(Deals!S5)=0,0,MIN(N(Deals!S5),MAX(0,N(Deals!S5)+SheriffCostsFromBid-(V6)*(1-RTTPurchase)))))+Underwriting!$AA5),0))</f>
        <v>0.0553571961478072</v>
      </c>
      <c r="Z6" s="31" t="n">
        <f aca="false">IF(Underwriting!$A5="","",ROUND(Z$2*$C6,-3))</f>
        <v>237000</v>
      </c>
      <c r="AA6" s="31" t="n">
        <f aca="false">IF(Underwriting!$A5="","",Underwriting!$T5-((Z6)*(1+BuyerPremium)+IF(N(Deals!S5)=0,0,MIN(N(Deals!S5),MAX(0,N(Deals!S5)+SheriffCostsFromBid-(Z6)*(1-RTTPurchase))))))</f>
        <v>32843.0059</v>
      </c>
      <c r="AB6" s="32" t="n">
        <f aca="false">IF(Underwriting!$A5="","",IFERROR(AA6/(((Z6)*(1+BuyerPremium)+IF(N(Deals!S5)=0,0,MIN(N(Deals!S5),MAX(0,N(Deals!S5)+SheriffCostsFromBid-(Z6)*(1-RTTPurchase)))))+Underwriting!$S5)/(Underwriting!$M5/12),0))</f>
        <v>0.0672739231263498</v>
      </c>
      <c r="AC6" s="32" t="n">
        <f aca="false">IF(Underwriting!$A5="","",IFERROR(Underwriting!$Z5/(((Z6)*(1+BuyerPremium)+IF(N(Deals!S5)=0,0,MIN(N(Deals!S5),MAX(0,N(Deals!S5)+SheriffCostsFromBid-(Z6)*(1-RTTPurchase)))))+Underwriting!$AA5),0))</f>
        <v>0.0486086188788037</v>
      </c>
      <c r="AD6" s="31" t="n">
        <f aca="false">IF(Underwriting!$A5="","",ROUND(AD$2*$C6,-3))</f>
        <v>277000</v>
      </c>
      <c r="AE6" s="31" t="n">
        <f aca="false">IF(Underwriting!$A5="","",Underwriting!$T5-((AD6)*(1+BuyerPremium)+IF(N(Deals!S5)=0,0,MIN(N(Deals!S5),MAX(0,N(Deals!S5)+SheriffCostsFromBid-(AD6)*(1-RTTPurchase))))))</f>
        <v>-7756.99410000001</v>
      </c>
      <c r="AF6" s="32" t="n">
        <f aca="false">IF(Underwriting!$A5="","",IFERROR(AE6/(((AD6)*(1+BuyerPremium)+IF(N(Deals!S5)=0,0,MIN(N(Deals!S5),MAX(0,N(Deals!S5)+SheriffCostsFromBid-(AD6)*(1-RTTPurchase)))))+Underwriting!$S5)/(Underwriting!$M5/12),0))</f>
        <v>-0.0141267893032464</v>
      </c>
      <c r="AG6" s="32" t="n">
        <f aca="false">IF(Underwriting!$A5="","",IFERROR(Underwriting!$Z5/(((AD6)*(1+BuyerPremium)+IF(N(Deals!S5)=0,0,MIN(N(Deals!S5),MAX(0,N(Deals!S5)+SheriffCostsFromBid-(AD6)*(1-RTTPurchase)))))+Underwriting!$AA5),0))</f>
        <v>0.0432062957366827</v>
      </c>
      <c r="AH6" s="31" t="n">
        <f aca="false">IF(Underwriting!$A5="","",$E6)</f>
        <v>204518.472687242</v>
      </c>
      <c r="AI6" s="31" t="n">
        <f aca="false">IF(Underwriting!$A5="","",Underwriting!$T5-((AH6)*(1+BuyerPremium)+IF(N(Deals!S5)=0,0,MIN(N(Deals!S5),MAX(0,N(Deals!S5)+SheriffCostsFromBid-(AH6)*(1-RTTPurchase))))))</f>
        <v>65811.756122449</v>
      </c>
      <c r="AJ6" s="32" t="n">
        <f aca="false">IF(Underwriting!$A5="","",IFERROR(AI6/(((AH6)*(1+BuyerPremium)+IF(N(Deals!S5)=0,0,MIN(N(Deals!S5),MAX(0,N(Deals!S5)+SheriffCostsFromBid-(AH6)*(1-RTTPurchase)))))+Underwriting!$S5)/(Underwriting!$M5/12),0))</f>
        <v>0.15</v>
      </c>
      <c r="AK6" s="32" t="n">
        <f aca="false">IF(Underwriting!$A5="","",IFERROR(Underwriting!$Z5/(((AH6)*(1+BuyerPremium)+IF(N(Deals!S5)=0,0,MIN(N(Deals!S5),MAX(0,N(Deals!S5)+SheriffCostsFromBid-(AH6)*(1-RTTPurchase)))))+Underwriting!$AA5),0))</f>
        <v>0.0541017686149658</v>
      </c>
    </row>
    <row r="7" customFormat="false" ht="15" hidden="false" customHeight="true" outlineLevel="0" collapsed="false">
      <c r="A7" s="1" t="str">
        <f aca="false">Underwriting!$A6</f>
        <v>1318974-3</v>
      </c>
      <c r="B7" s="1" t="str">
        <f aca="false">Underwriting!$B6</f>
        <v>3 Light cosmetic: ARV 375k, Light, occupied</v>
      </c>
      <c r="C7" s="31" t="n">
        <f aca="false">IF(Underwriting!$A6="","",N(Deals!M6))</f>
        <v>375000</v>
      </c>
      <c r="D7" s="31" t="n">
        <f aca="false">IF(Underwriting!$A6="","",N(Deals!D6))</f>
        <v>24700</v>
      </c>
      <c r="E7" s="31" t="n">
        <f aca="false">IF(Underwriting!$A6="","",Underwriting!$D6)</f>
        <v>185181.501935257</v>
      </c>
      <c r="F7" s="31" t="n">
        <f aca="false">IF(Underwriting!$A6="","",$D7)</f>
        <v>24700</v>
      </c>
      <c r="G7" s="31" t="n">
        <f aca="false">IF(Underwriting!$A6="","",Underwriting!$T6-((F7)*(1+BuyerPremium)+IF(N(Deals!S6)=0,0,MIN(N(Deals!S6),MAX(0,N(Deals!S6)+SheriffCostsFromBid-(F7)*(1-RTTPurchase))))))</f>
        <v>243880.68875</v>
      </c>
      <c r="H7" s="32" t="n">
        <f aca="false">IF(Underwriting!$A6="","",IFERROR(G7/(((F7)*(1+BuyerPremium)+IF(N(Deals!S6)=0,0,MIN(N(Deals!S6),MAX(0,N(Deals!S6)+SheriffCostsFromBid-(F7)*(1-RTTPurchase)))))+Underwriting!$S6)/(Underwriting!$M6/12),0))</f>
        <v>1.21578696826675</v>
      </c>
      <c r="I7" s="32" t="n">
        <f aca="false">IF(Underwriting!$A6="","",IFERROR(Underwriting!$Z6/(((F7)*(1+BuyerPremium)+IF(N(Deals!S6)=0,0,MIN(N(Deals!S6),MAX(0,N(Deals!S6)+SheriffCostsFromBid-(F7)*(1-RTTPurchase)))))+Underwriting!$AA6),0))</f>
        <v>0.168155834511214</v>
      </c>
      <c r="J7" s="31" t="n">
        <f aca="false">IF(Underwriting!$A6="","",ROUND(J$2*$C7,-3))</f>
        <v>75000</v>
      </c>
      <c r="K7" s="31" t="n">
        <f aca="false">IF(Underwriting!$A6="","",Underwriting!$T6-((J7)*(1+BuyerPremium)+IF(N(Deals!S6)=0,0,MIN(N(Deals!S6),MAX(0,N(Deals!S6)+SheriffCostsFromBid-(J7)*(1-RTTPurchase))))))</f>
        <v>192826.18875</v>
      </c>
      <c r="L7" s="32" t="n">
        <f aca="false">IF(Underwriting!$A6="","",IFERROR(K7/(((J7)*(1+BuyerPremium)+IF(N(Deals!S6)=0,0,MIN(N(Deals!S6),MAX(0,N(Deals!S6)+SheriffCostsFromBid-(J7)*(1-RTTPurchase)))))+Underwriting!$S6)/(Underwriting!$M6/12),0))</f>
        <v>0.628183331911028</v>
      </c>
      <c r="M7" s="32" t="n">
        <f aca="false">IF(Underwriting!$A6="","",IFERROR(Underwriting!$Z6/(((J7)*(1+BuyerPremium)+IF(N(Deals!S6)=0,0,MIN(N(Deals!S6),MAX(0,N(Deals!S6)+SheriffCostsFromBid-(J7)*(1-RTTPurchase)))))+Underwriting!$AA6),0))</f>
        <v>0.109587272917642</v>
      </c>
      <c r="N7" s="31" t="n">
        <f aca="false">IF(Underwriting!$A6="","",ROUND(N$2*$C7,-3))</f>
        <v>113000</v>
      </c>
      <c r="O7" s="31" t="n">
        <f aca="false">IF(Underwriting!$A6="","",Underwriting!$T6-((N7)*(1+BuyerPremium)+IF(N(Deals!S6)=0,0,MIN(N(Deals!S6),MAX(0,N(Deals!S6)+SheriffCostsFromBid-(N7)*(1-RTTPurchase))))))</f>
        <v>154256.18875</v>
      </c>
      <c r="P7" s="32" t="n">
        <f aca="false">IF(Underwriting!$A6="","",IFERROR(O7/(((N7)*(1+BuyerPremium)+IF(N(Deals!S6)=0,0,MIN(N(Deals!S6),MAX(0,N(Deals!S6)+SheriffCostsFromBid-(N7)*(1-RTTPurchase)))))+Underwriting!$S6)/(Underwriting!$M6/12),0))</f>
        <v>0.398273068720212</v>
      </c>
      <c r="Q7" s="32" t="n">
        <f aca="false">IF(Underwriting!$A6="","",IFERROR(Underwriting!$Z6/(((N7)*(1+BuyerPremium)+IF(N(Deals!S6)=0,0,MIN(N(Deals!S6),MAX(0,N(Deals!S6)+SheriffCostsFromBid-(N7)*(1-RTTPurchase)))))+Underwriting!$AA6),0))</f>
        <v>0.0867585958935112</v>
      </c>
      <c r="R7" s="31" t="n">
        <f aca="false">IF(Underwriting!$A6="","",ROUND(R$2*$C7,-3))</f>
        <v>150000</v>
      </c>
      <c r="S7" s="31" t="n">
        <f aca="false">IF(Underwriting!$A6="","",Underwriting!$T6-((R7)*(1+BuyerPremium)+IF(N(Deals!S6)=0,0,MIN(N(Deals!S6),MAX(0,N(Deals!S6)+SheriffCostsFromBid-(R7)*(1-RTTPurchase))))))</f>
        <v>116701.18875</v>
      </c>
      <c r="T7" s="32" t="n">
        <f aca="false">IF(Underwriting!$A6="","",IFERROR(S7/(((R7)*(1+BuyerPremium)+IF(N(Deals!S6)=0,0,MIN(N(Deals!S6),MAX(0,N(Deals!S6)+SheriffCostsFromBid-(R7)*(1-RTTPurchase)))))+Underwriting!$S6)/(Underwriting!$M6/12),0))</f>
        <v>0.250672612025608</v>
      </c>
      <c r="U7" s="32" t="n">
        <f aca="false">IF(Underwriting!$A6="","",IFERROR(Underwriting!$Z6/(((R7)*(1+BuyerPremium)+IF(N(Deals!S6)=0,0,MIN(N(Deals!S6),MAX(0,N(Deals!S6)+SheriffCostsFromBid-(R7)*(1-RTTPurchase)))))+Underwriting!$AA6),0))</f>
        <v>0.0721285425834535</v>
      </c>
      <c r="V7" s="31" t="n">
        <f aca="false">IF(Underwriting!$A6="","",ROUND(V$2*$C7,-3))</f>
        <v>188000</v>
      </c>
      <c r="W7" s="31" t="n">
        <f aca="false">IF(Underwriting!$A6="","",Underwriting!$T6-((V7)*(1+BuyerPremium)+IF(N(Deals!S6)=0,0,MIN(N(Deals!S6),MAX(0,N(Deals!S6)+SheriffCostsFromBid-(V7)*(1-RTTPurchase))))))</f>
        <v>78131.18875</v>
      </c>
      <c r="X7" s="32" t="n">
        <f aca="false">IF(Underwriting!$A6="","",IFERROR(W7/(((V7)*(1+BuyerPremium)+IF(N(Deals!S6)=0,0,MIN(N(Deals!S6),MAX(0,N(Deals!S6)+SheriffCostsFromBid-(V7)*(1-RTTPurchase)))))+Underwriting!$S6)/(Underwriting!$M6/12),0))</f>
        <v>0.143121956356136</v>
      </c>
      <c r="Y7" s="32" t="n">
        <f aca="false">IF(Underwriting!$A6="","",IFERROR(Underwriting!$Z6/(((V7)*(1+BuyerPremium)+IF(N(Deals!S6)=0,0,MIN(N(Deals!S6),MAX(0,N(Deals!S6)+SheriffCostsFromBid-(V7)*(1-RTTPurchase)))))+Underwriting!$AA6),0))</f>
        <v>0.0614808578204511</v>
      </c>
      <c r="Z7" s="31" t="n">
        <f aca="false">IF(Underwriting!$A6="","",ROUND(Z$2*$C7,-3))</f>
        <v>225000</v>
      </c>
      <c r="AA7" s="31" t="n">
        <f aca="false">IF(Underwriting!$A6="","",Underwriting!$T6-((Z7)*(1+BuyerPremium)+IF(N(Deals!S6)=0,0,MIN(N(Deals!S6),MAX(0,N(Deals!S6)+SheriffCostsFromBid-(Z7)*(1-RTTPurchase))))))</f>
        <v>40576.18875</v>
      </c>
      <c r="AB7" s="32" t="n">
        <f aca="false">IF(Underwriting!$A6="","",IFERROR(AA7/(((Z7)*(1+BuyerPremium)+IF(N(Deals!S6)=0,0,MIN(N(Deals!S6),MAX(0,N(Deals!S6)+SheriffCostsFromBid-(Z7)*(1-RTTPurchase)))))+Underwriting!$S6)/(Underwriting!$M6/12),0))</f>
        <v>0.0650107367338442</v>
      </c>
      <c r="AC7" s="32" t="n">
        <f aca="false">IF(Underwriting!$A6="","",IFERROR(Underwriting!$Z6/(((Z7)*(1+BuyerPremium)+IF(N(Deals!S6)=0,0,MIN(N(Deals!S6),MAX(0,N(Deals!S6)+SheriffCostsFromBid-(Z7)*(1-RTTPurchase)))))+Underwriting!$AA6),0))</f>
        <v>0.0537544041078607</v>
      </c>
      <c r="AD7" s="31" t="n">
        <f aca="false">IF(Underwriting!$A6="","",ROUND(AD$2*$C7,-3))</f>
        <v>263000</v>
      </c>
      <c r="AE7" s="31" t="n">
        <f aca="false">IF(Underwriting!$A6="","",Underwriting!$T6-((AD7)*(1+BuyerPremium)+IF(N(Deals!S6)=0,0,MIN(N(Deals!S6),MAX(0,N(Deals!S6)+SheriffCostsFromBid-(AD7)*(1-RTTPurchase))))))</f>
        <v>2006.18874999997</v>
      </c>
      <c r="AF7" s="32" t="n">
        <f aca="false">IF(Underwriting!$A6="","",IFERROR(AE7/(((AD7)*(1+BuyerPremium)+IF(N(Deals!S6)=0,0,MIN(N(Deals!S6),MAX(0,N(Deals!S6)+SheriffCostsFromBid-(AD7)*(1-RTTPurchase)))))+Underwriting!$S6)/(Underwriting!$M6/12),0))</f>
        <v>0.00284767691500998</v>
      </c>
      <c r="AG7" s="32" t="n">
        <f aca="false">IF(Underwriting!$A6="","",IFERROR(Underwriting!$Z6/(((AD7)*(1+BuyerPremium)+IF(N(Deals!S6)=0,0,MIN(N(Deals!S6),MAX(0,N(Deals!S6)+SheriffCostsFromBid-(AD7)*(1-RTTPurchase)))))+Underwriting!$AA6),0))</f>
        <v>0.047609491581744</v>
      </c>
      <c r="AH7" s="31" t="n">
        <f aca="false">IF(Underwriting!$A6="","",$E7)</f>
        <v>185181.501935257</v>
      </c>
      <c r="AI7" s="31" t="n">
        <f aca="false">IF(Underwriting!$A6="","",Underwriting!$T6-((AH7)*(1+BuyerPremium)+IF(N(Deals!S6)=0,0,MIN(N(Deals!S6),MAX(0,N(Deals!S6)+SheriffCostsFromBid-(AH7)*(1-RTTPurchase))))))</f>
        <v>80991.9642857143</v>
      </c>
      <c r="AJ7" s="32" t="n">
        <f aca="false">IF(Underwriting!$A6="","",IFERROR(AI7/(((AH7)*(1+BuyerPremium)+IF(N(Deals!S6)=0,0,MIN(N(Deals!S6),MAX(0,N(Deals!S6)+SheriffCostsFromBid-(AH7)*(1-RTTPurchase)))))+Underwriting!$S6)/(Underwriting!$M6/12),0))</f>
        <v>0.15</v>
      </c>
      <c r="AK7" s="32" t="n">
        <f aca="false">IF(Underwriting!$A6="","",IFERROR(Underwriting!$Z6/(((AH7)*(1+BuyerPremium)+IF(N(Deals!S6)=0,0,MIN(N(Deals!S6),MAX(0,N(Deals!S6)+SheriffCostsFromBid-(AH7)*(1-RTTPurchase)))))+Underwriting!$AA6),0))</f>
        <v>0.0621614759131739</v>
      </c>
    </row>
    <row r="8" customFormat="false" ht="15" hidden="false" customHeight="true" outlineLevel="0" collapsed="false">
      <c r="A8" s="1" t="str">
        <f aca="false">Underwriting!$A7</f>
        <v>1318974-4</v>
      </c>
      <c r="B8" s="1" t="str">
        <f aca="false">Underwriting!$B7</f>
        <v>4 Downside: ARV 365k, Heavy, occupied</v>
      </c>
      <c r="C8" s="31" t="n">
        <f aca="false">IF(Underwriting!$A7="","",N(Deals!M7))</f>
        <v>365000</v>
      </c>
      <c r="D8" s="31" t="n">
        <f aca="false">IF(Underwriting!$A7="","",N(Deals!D7))</f>
        <v>24700</v>
      </c>
      <c r="E8" s="31" t="n">
        <f aca="false">IF(Underwriting!$A7="","",Underwriting!$D7)</f>
        <v>123711.525188834</v>
      </c>
      <c r="F8" s="31" t="n">
        <f aca="false">IF(Underwriting!$A7="","",$D8)</f>
        <v>24700</v>
      </c>
      <c r="G8" s="31" t="n">
        <f aca="false">IF(Underwriting!$A7="","",Underwriting!$T7-((F8)*(1+BuyerPremium)+IF(N(Deals!S7)=0,0,MIN(N(Deals!S7),MAX(0,N(Deals!S7)+SheriffCostsFromBid-(F8)*(1-RTTPurchase))))))</f>
        <v>186336.1814</v>
      </c>
      <c r="H8" s="32" t="n">
        <f aca="false">IF(Underwriting!$A7="","",IFERROR(G8/(((F8)*(1+BuyerPremium)+IF(N(Deals!S7)=0,0,MIN(N(Deals!S7),MAX(0,N(Deals!S7)+SheriffCostsFromBid-(F8)*(1-RTTPurchase)))))+Underwriting!$S7)/(Underwriting!$M7/12),0))</f>
        <v>0.551664357859641</v>
      </c>
      <c r="I8" s="32" t="n">
        <f aca="false">IF(Underwriting!$A7="","",IFERROR(Underwriting!$Z7/(((F8)*(1+BuyerPremium)+IF(N(Deals!S7)=0,0,MIN(N(Deals!S7),MAX(0,N(Deals!S7)+SheriffCostsFromBid-(F8)*(1-RTTPurchase)))))+Underwriting!$AA7),0))</f>
        <v>0.112523602643061</v>
      </c>
      <c r="J8" s="31" t="n">
        <f aca="false">IF(Underwriting!$A7="","",ROUND(J$2*$C8,-3))</f>
        <v>73000</v>
      </c>
      <c r="K8" s="31" t="n">
        <f aca="false">IF(Underwriting!$A7="","",Underwriting!$T7-((J8)*(1+BuyerPremium)+IF(N(Deals!S7)=0,0,MIN(N(Deals!S7),MAX(0,N(Deals!S7)+SheriffCostsFromBid-(J8)*(1-RTTPurchase))))))</f>
        <v>137311.6814</v>
      </c>
      <c r="L8" s="32" t="n">
        <f aca="false">IF(Underwriting!$A7="","",IFERROR(K8/(((J8)*(1+BuyerPremium)+IF(N(Deals!S7)=0,0,MIN(N(Deals!S7),MAX(0,N(Deals!S7)+SheriffCostsFromBid-(J8)*(1-RTTPurchase)))))+Underwriting!$S7)/(Underwriting!$M7/12),0))</f>
        <v>0.303678450397718</v>
      </c>
      <c r="M8" s="32" t="n">
        <f aca="false">IF(Underwriting!$A7="","",IFERROR(Underwriting!$Z7/(((J8)*(1+BuyerPremium)+IF(N(Deals!S7)=0,0,MIN(N(Deals!S7),MAX(0,N(Deals!S7)+SheriffCostsFromBid-(J8)*(1-RTTPurchase)))))+Underwriting!$AA7),0))</f>
        <v>0.0839449505508157</v>
      </c>
      <c r="N8" s="31" t="n">
        <f aca="false">IF(Underwriting!$A7="","",ROUND(N$2*$C8,-3))</f>
        <v>110000</v>
      </c>
      <c r="O8" s="31" t="n">
        <f aca="false">IF(Underwriting!$A7="","",Underwriting!$T7-((N8)*(1+BuyerPremium)+IF(N(Deals!S7)=0,0,MIN(N(Deals!S7),MAX(0,N(Deals!S7)+SheriffCostsFromBid-(N8)*(1-RTTPurchase))))))</f>
        <v>99756.6814</v>
      </c>
      <c r="P8" s="32" t="n">
        <f aca="false">IF(Underwriting!$A7="","",IFERROR(O8/(((N8)*(1+BuyerPremium)+IF(N(Deals!S7)=0,0,MIN(N(Deals!S7),MAX(0,N(Deals!S7)+SheriffCostsFromBid-(N8)*(1-RTTPurchase)))))+Underwriting!$S7)/(Underwriting!$M7/12),0))</f>
        <v>0.184806546511145</v>
      </c>
      <c r="Q8" s="32" t="n">
        <f aca="false">IF(Underwriting!$A7="","",IFERROR(Underwriting!$Z7/(((N8)*(1+BuyerPremium)+IF(N(Deals!S7)=0,0,MIN(N(Deals!S7),MAX(0,N(Deals!S7)+SheriffCostsFromBid-(N8)*(1-RTTPurchase)))))+Underwriting!$AA7),0))</f>
        <v>0.0702727174422295</v>
      </c>
      <c r="R8" s="31" t="n">
        <f aca="false">IF(Underwriting!$A7="","",ROUND(R$2*$C8,-3))</f>
        <v>146000</v>
      </c>
      <c r="S8" s="31" t="n">
        <f aca="false">IF(Underwriting!$A7="","",Underwriting!$T7-((R8)*(1+BuyerPremium)+IF(N(Deals!S7)=0,0,MIN(N(Deals!S7),MAX(0,N(Deals!S7)+SheriffCostsFromBid-(R8)*(1-RTTPurchase))))))</f>
        <v>63216.6814</v>
      </c>
      <c r="T8" s="32" t="n">
        <f aca="false">IF(Underwriting!$A7="","",IFERROR(S8/(((R8)*(1+BuyerPremium)+IF(N(Deals!S7)=0,0,MIN(N(Deals!S7),MAX(0,N(Deals!S7)+SheriffCostsFromBid-(R8)*(1-RTTPurchase)))))+Underwriting!$S7)/(Underwriting!$M7/12),0))</f>
        <v>0.101138637975411</v>
      </c>
      <c r="U8" s="32" t="n">
        <f aca="false">IF(Underwriting!$A7="","",IFERROR(Underwriting!$Z7/(((R8)*(1+BuyerPremium)+IF(N(Deals!S7)=0,0,MIN(N(Deals!S7),MAX(0,N(Deals!S7)+SheriffCostsFromBid-(R8)*(1-RTTPurchase)))))+Underwriting!$AA7),0))</f>
        <v>0.0606599640287697</v>
      </c>
      <c r="V8" s="31" t="n">
        <f aca="false">IF(Underwriting!$A7="","",ROUND(V$2*$C8,-3))</f>
        <v>183000</v>
      </c>
      <c r="W8" s="31" t="n">
        <f aca="false">IF(Underwriting!$A7="","",Underwriting!$T7-((V8)*(1+BuyerPremium)+IF(N(Deals!S7)=0,0,MIN(N(Deals!S7),MAX(0,N(Deals!S7)+SheriffCostsFromBid-(V8)*(1-RTTPurchase))))))</f>
        <v>25661.6814000001</v>
      </c>
      <c r="X8" s="32" t="n">
        <f aca="false">IF(Underwriting!$A7="","",IFERROR(W8/(((V8)*(1+BuyerPremium)+IF(N(Deals!S7)=0,0,MIN(N(Deals!S7),MAX(0,N(Deals!S7)+SheriffCostsFromBid-(V8)*(1-RTTPurchase)))))+Underwriting!$S7)/(Underwriting!$M7/12),0))</f>
        <v>0.0360073946956541</v>
      </c>
      <c r="Y8" s="32" t="n">
        <f aca="false">IF(Underwriting!$A7="","",IFERROR(Underwriting!$Z7/(((V8)*(1+BuyerPremium)+IF(N(Deals!S7)=0,0,MIN(N(Deals!S7),MAX(0,N(Deals!S7)+SheriffCostsFromBid-(V8)*(1-RTTPurchase)))))+Underwriting!$AA7),0))</f>
        <v>0.0531828819963015</v>
      </c>
      <c r="Z8" s="31" t="n">
        <f aca="false">IF(Underwriting!$A7="","",ROUND(Z$2*$C8,-3))</f>
        <v>219000</v>
      </c>
      <c r="AA8" s="31" t="n">
        <f aca="false">IF(Underwriting!$A7="","",Underwriting!$T7-((Z8)*(1+BuyerPremium)+IF(N(Deals!S7)=0,0,MIN(N(Deals!S7),MAX(0,N(Deals!S7)+SheriffCostsFromBid-(Z8)*(1-RTTPurchase))))))</f>
        <v>-10878.3185999999</v>
      </c>
      <c r="AB8" s="32" t="n">
        <f aca="false">IF(Underwriting!$A7="","",IFERROR(AA8/(((Z8)*(1+BuyerPremium)+IF(N(Deals!S7)=0,0,MIN(N(Deals!S7),MAX(0,N(Deals!S7)+SheriffCostsFromBid-(Z8)*(1-RTTPurchase)))))+Underwriting!$S7)/(Underwriting!$M7/12),0))</f>
        <v>-0.0136330358081385</v>
      </c>
      <c r="AC8" s="32" t="n">
        <f aca="false">IF(Underwriting!$A7="","",IFERROR(Underwriting!$Z7/(((Z8)*(1+BuyerPremium)+IF(N(Deals!S7)=0,0,MIN(N(Deals!S7),MAX(0,N(Deals!S7)+SheriffCostsFromBid-(Z8)*(1-RTTPurchase)))))+Underwriting!$AA7),0))</f>
        <v>0.0474876496229715</v>
      </c>
      <c r="AD8" s="31" t="n">
        <f aca="false">IF(Underwriting!$A7="","",ROUND(AD$2*$C8,-3))</f>
        <v>256000</v>
      </c>
      <c r="AE8" s="31" t="n">
        <f aca="false">IF(Underwriting!$A7="","",Underwriting!$T7-((AD8)*(1+BuyerPremium)+IF(N(Deals!S7)=0,0,MIN(N(Deals!S7),MAX(0,N(Deals!S7)+SheriffCostsFromBid-(AD8)*(1-RTTPurchase))))))</f>
        <v>-48433.3185999999</v>
      </c>
      <c r="AF8" s="32" t="n">
        <f aca="false">IF(Underwriting!$A7="","",IFERROR(AE8/(((AD8)*(1+BuyerPremium)+IF(N(Deals!S7)=0,0,MIN(N(Deals!S7),MAX(0,N(Deals!S7)+SheriffCostsFromBid-(AD8)*(1-RTTPurchase)))))+Underwriting!$S7)/(Underwriting!$M7/12),0))</f>
        <v>-0.0546919091983423</v>
      </c>
      <c r="AG8" s="32" t="n">
        <f aca="false">IF(Underwriting!$A7="","",IFERROR(Underwriting!$Z7/(((AD8)*(1+BuyerPremium)+IF(N(Deals!S7)=0,0,MIN(N(Deals!S7),MAX(0,N(Deals!S7)+SheriffCostsFromBid-(AD8)*(1-RTTPurchase)))))+Underwriting!$AA7),0))</f>
        <v>0.0427792631480684</v>
      </c>
      <c r="AH8" s="31" t="n">
        <f aca="false">IF(Underwriting!$A7="","",$E8)</f>
        <v>123711.525188834</v>
      </c>
      <c r="AI8" s="31" t="n">
        <f aca="false">IF(Underwriting!$A7="","",Underwriting!$T7-((AH8)*(1+BuyerPremium)+IF(N(Deals!S7)=0,0,MIN(N(Deals!S7),MAX(0,N(Deals!S7)+SheriffCostsFromBid-(AH8)*(1-RTTPurchase))))))</f>
        <v>85839.4833333334</v>
      </c>
      <c r="AJ8" s="32" t="n">
        <f aca="false">IF(Underwriting!$A7="","",IFERROR(AI8/(((AH8)*(1+BuyerPremium)+IF(N(Deals!S7)=0,0,MIN(N(Deals!S7),MAX(0,N(Deals!S7)+SheriffCostsFromBid-(AH8)*(1-RTTPurchase)))))+Underwriting!$S7)/(Underwriting!$M7/12),0))</f>
        <v>0.15</v>
      </c>
      <c r="AK8" s="32" t="n">
        <f aca="false">IF(Underwriting!$A7="","",IFERROR(Underwriting!$Z7/(((AH8)*(1+BuyerPremium)+IF(N(Deals!S7)=0,0,MIN(N(Deals!S7),MAX(0,N(Deals!S7)+SheriffCostsFromBid-(AH8)*(1-RTTPurchase)))))+Underwriting!$AA7),0))</f>
        <v>0.0662726852519289</v>
      </c>
    </row>
    <row r="9" customFormat="false" ht="15" hidden="false" customHeight="true" outlineLevel="0" collapsed="false">
      <c r="A9" s="1" t="str">
        <f aca="false">Underwriting!$A8</f>
        <v>1318974-5</v>
      </c>
      <c r="B9" s="1" t="str">
        <f aca="false">Underwriting!$B8</f>
        <v>5 Upside: ARV 425k, Medium + half bath, occupied</v>
      </c>
      <c r="C9" s="31" t="n">
        <f aca="false">IF(Underwriting!$A8="","",N(Deals!M8))</f>
        <v>425000</v>
      </c>
      <c r="D9" s="31" t="n">
        <f aca="false">IF(Underwriting!$A8="","",N(Deals!D8))</f>
        <v>24700</v>
      </c>
      <c r="E9" s="31" t="n">
        <f aca="false">IF(Underwriting!$A8="","",Underwriting!$D8)</f>
        <v>175356.598641138</v>
      </c>
      <c r="F9" s="31" t="n">
        <f aca="false">IF(Underwriting!$A8="","",$D9)</f>
        <v>24700</v>
      </c>
      <c r="G9" s="31" t="n">
        <f aca="false">IF(Underwriting!$A8="","",Underwriting!$T8-((F9)*(1+BuyerPremium)+IF(N(Deals!S8)=0,0,MIN(N(Deals!S8),MAX(0,N(Deals!S8)+SheriffCostsFromBid-(F9)*(1-RTTPurchase))))))</f>
        <v>247478.3863</v>
      </c>
      <c r="H9" s="32" t="n">
        <f aca="false">IF(Underwriting!$A8="","",IFERROR(G9/(((F9)*(1+BuyerPremium)+IF(N(Deals!S8)=0,0,MIN(N(Deals!S8),MAX(0,N(Deals!S8)+SheriffCostsFromBid-(F9)*(1-RTTPurchase)))))+Underwriting!$S8)/(Underwriting!$M8/12),0))</f>
        <v>0.827426908584691</v>
      </c>
      <c r="I9" s="32" t="n">
        <f aca="false">IF(Underwriting!$A8="","",IFERROR(Underwriting!$Z8/(((F9)*(1+BuyerPremium)+IF(N(Deals!S8)=0,0,MIN(N(Deals!S8),MAX(0,N(Deals!S8)+SheriffCostsFromBid-(F9)*(1-RTTPurchase)))))+Underwriting!$AA8),0))</f>
        <v>0.111910166372285</v>
      </c>
      <c r="J9" s="31" t="n">
        <f aca="false">IF(Underwriting!$A8="","",ROUND(J$2*$C9,-3))</f>
        <v>85000</v>
      </c>
      <c r="K9" s="31" t="n">
        <f aca="false">IF(Underwriting!$A8="","",Underwriting!$T8-((J9)*(1+BuyerPremium)+IF(N(Deals!S8)=0,0,MIN(N(Deals!S8),MAX(0,N(Deals!S8)+SheriffCostsFromBid-(J9)*(1-RTTPurchase))))))</f>
        <v>186273.8863</v>
      </c>
      <c r="L9" s="32" t="n">
        <f aca="false">IF(Underwriting!$A8="","",IFERROR(K9/(((J9)*(1+BuyerPremium)+IF(N(Deals!S8)=0,0,MIN(N(Deals!S8),MAX(0,N(Deals!S8)+SheriffCostsFromBid-(J9)*(1-RTTPurchase)))))+Underwriting!$S8)/(Underwriting!$M8/12),0))</f>
        <v>0.431485494053467</v>
      </c>
      <c r="M9" s="32" t="n">
        <f aca="false">IF(Underwriting!$A8="","",IFERROR(Underwriting!$Z8/(((J9)*(1+BuyerPremium)+IF(N(Deals!S8)=0,0,MIN(N(Deals!S8),MAX(0,N(Deals!S8)+SheriffCostsFromBid-(J9)*(1-RTTPurchase)))))+Underwriting!$AA8),0))</f>
        <v>0.0774026160466007</v>
      </c>
      <c r="N9" s="31" t="n">
        <f aca="false">IF(Underwriting!$A8="","",ROUND(N$2*$C9,-3))</f>
        <v>128000</v>
      </c>
      <c r="O9" s="31" t="n">
        <f aca="false">IF(Underwriting!$A8="","",Underwriting!$T8-((N9)*(1+BuyerPremium)+IF(N(Deals!S8)=0,0,MIN(N(Deals!S8),MAX(0,N(Deals!S8)+SheriffCostsFromBid-(N9)*(1-RTTPurchase))))))</f>
        <v>142628.8863</v>
      </c>
      <c r="P9" s="32" t="n">
        <f aca="false">IF(Underwriting!$A8="","",IFERROR(O9/(((N9)*(1+BuyerPremium)+IF(N(Deals!S8)=0,0,MIN(N(Deals!S8),MAX(0,N(Deals!S8)+SheriffCostsFromBid-(N9)*(1-RTTPurchase)))))+Underwriting!$S8)/(Underwriting!$M8/12),0))</f>
        <v>0.271019558792604</v>
      </c>
      <c r="Q9" s="32" t="n">
        <f aca="false">IF(Underwriting!$A8="","",IFERROR(Underwriting!$Z8/(((N9)*(1+BuyerPremium)+IF(N(Deals!S8)=0,0,MIN(N(Deals!S8),MAX(0,N(Deals!S8)+SheriffCostsFromBid-(N9)*(1-RTTPurchase)))))+Underwriting!$AA8),0))</f>
        <v>0.0634507448887682</v>
      </c>
      <c r="R9" s="31" t="n">
        <f aca="false">IF(Underwriting!$A8="","",ROUND(R$2*$C9,-3))</f>
        <v>170000</v>
      </c>
      <c r="S9" s="31" t="n">
        <f aca="false">IF(Underwriting!$A8="","",Underwriting!$T8-((R9)*(1+BuyerPremium)+IF(N(Deals!S8)=0,0,MIN(N(Deals!S8),MAX(0,N(Deals!S8)+SheriffCostsFromBid-(R9)*(1-RTTPurchase))))))</f>
        <v>99998.8863</v>
      </c>
      <c r="T9" s="32" t="n">
        <f aca="false">IF(Underwriting!$A8="","",IFERROR(S9/(((R9)*(1+BuyerPremium)+IF(N(Deals!S8)=0,0,MIN(N(Deals!S8),MAX(0,N(Deals!S8)+SheriffCostsFromBid-(R9)*(1-RTTPurchase)))))+Underwriting!$S8)/(Underwriting!$M8/12),0))</f>
        <v>0.161644960898666</v>
      </c>
      <c r="U9" s="32" t="n">
        <f aca="false">IF(Underwriting!$A8="","",IFERROR(Underwriting!$Z8/(((R9)*(1+BuyerPremium)+IF(N(Deals!S8)=0,0,MIN(N(Deals!S8),MAX(0,N(Deals!S8)+SheriffCostsFromBid-(R9)*(1-RTTPurchase)))))+Underwriting!$AA8),0))</f>
        <v>0.0539520190172207</v>
      </c>
      <c r="V9" s="31" t="n">
        <f aca="false">IF(Underwriting!$A8="","",ROUND(V$2*$C9,-3))</f>
        <v>213000</v>
      </c>
      <c r="W9" s="31" t="n">
        <f aca="false">IF(Underwriting!$A8="","",Underwriting!$T8-((V9)*(1+BuyerPremium)+IF(N(Deals!S8)=0,0,MIN(N(Deals!S8),MAX(0,N(Deals!S8)+SheriffCostsFromBid-(V9)*(1-RTTPurchase))))))</f>
        <v>56353.8863</v>
      </c>
      <c r="X9" s="32" t="n">
        <f aca="false">IF(Underwriting!$A8="","",IFERROR(W9/(((V9)*(1+BuyerPremium)+IF(N(Deals!S8)=0,0,MIN(N(Deals!S8),MAX(0,N(Deals!S8)+SheriffCostsFromBid-(V9)*(1-RTTPurchase)))))+Underwriting!$S8)/(Underwriting!$M8/12),0))</f>
        <v>0.0790158726075404</v>
      </c>
      <c r="Y9" s="32" t="n">
        <f aca="false">IF(Underwriting!$A8="","",IFERROR(Underwriting!$Z8/(((V9)*(1+BuyerPremium)+IF(N(Deals!S8)=0,0,MIN(N(Deals!S8),MAX(0,N(Deals!S8)+SheriffCostsFromBid-(V9)*(1-RTTPurchase)))))+Underwriting!$AA8),0))</f>
        <v>0.04678191021774</v>
      </c>
      <c r="Z9" s="31" t="n">
        <f aca="false">IF(Underwriting!$A8="","",ROUND(Z$2*$C9,-3))</f>
        <v>255000</v>
      </c>
      <c r="AA9" s="31" t="n">
        <f aca="false">IF(Underwriting!$A8="","",Underwriting!$T8-((Z9)*(1+BuyerPremium)+IF(N(Deals!S8)=0,0,MIN(N(Deals!S8),MAX(0,N(Deals!S8)+SheriffCostsFromBid-(Z9)*(1-RTTPurchase))))))</f>
        <v>13723.8863</v>
      </c>
      <c r="AB9" s="32" t="n">
        <f aca="false">IF(Underwriting!$A8="","",IFERROR(AA9/(((Z9)*(1+BuyerPremium)+IF(N(Deals!S8)=0,0,MIN(N(Deals!S8),MAX(0,N(Deals!S8)+SheriffCostsFromBid-(Z9)*(1-RTTPurchase)))))+Underwriting!$S8)/(Underwriting!$M8/12),0))</f>
        <v>0.0170364114150524</v>
      </c>
      <c r="AC9" s="32" t="n">
        <f aca="false">IF(Underwriting!$A8="","",IFERROR(Underwriting!$Z8/(((Z9)*(1+BuyerPremium)+IF(N(Deals!S8)=0,0,MIN(N(Deals!S8),MAX(0,N(Deals!S8)+SheriffCostsFromBid-(Z9)*(1-RTTPurchase)))))+Underwriting!$AA8),0))</f>
        <v>0.041406984324661</v>
      </c>
      <c r="AD9" s="31" t="n">
        <f aca="false">IF(Underwriting!$A8="","",ROUND(AD$2*$C9,-3))</f>
        <v>298000</v>
      </c>
      <c r="AE9" s="31" t="n">
        <f aca="false">IF(Underwriting!$A8="","",Underwriting!$T8-((AD9)*(1+BuyerPremium)+IF(N(Deals!S8)=0,0,MIN(N(Deals!S8),MAX(0,N(Deals!S8)+SheriffCostsFromBid-(AD9)*(1-RTTPurchase))))))</f>
        <v>-29921.1136999999</v>
      </c>
      <c r="AF9" s="32" t="n">
        <f aca="false">IF(Underwriting!$A8="","",IFERROR(AE9/(((AD9)*(1+BuyerPremium)+IF(N(Deals!S8)=0,0,MIN(N(Deals!S8),MAX(0,N(Deals!S8)+SheriffCostsFromBid-(AD9)*(1-RTTPurchase)))))+Underwriting!$S8)/(Underwriting!$M8/12),0))</f>
        <v>-0.0332410205861369</v>
      </c>
      <c r="AG9" s="32" t="n">
        <f aca="false">IF(Underwriting!$A8="","",IFERROR(Underwriting!$Z8/(((AD9)*(1+BuyerPremium)+IF(N(Deals!S8)=0,0,MIN(N(Deals!S8),MAX(0,N(Deals!S8)+SheriffCostsFromBid-(AD9)*(1-RTTPurchase)))))+Underwriting!$AA8),0))</f>
        <v>0.0370489594047319</v>
      </c>
      <c r="AH9" s="31" t="n">
        <f aca="false">IF(Underwriting!$A8="","",$E9)</f>
        <v>175356.598641138</v>
      </c>
      <c r="AI9" s="31" t="n">
        <f aca="false">IF(Underwriting!$A8="","",Underwriting!$T8-((AH9)*(1+BuyerPremium)+IF(N(Deals!S8)=0,0,MIN(N(Deals!S8),MAX(0,N(Deals!S8)+SheriffCostsFromBid-(AH9)*(1-RTTPurchase))))))</f>
        <v>94561.9386792453</v>
      </c>
      <c r="AJ9" s="32" t="n">
        <f aca="false">IF(Underwriting!$A8="","",IFERROR(AI9/(((AH9)*(1+BuyerPremium)+IF(N(Deals!S8)=0,0,MIN(N(Deals!S8),MAX(0,N(Deals!S8)+SheriffCostsFromBid-(AH9)*(1-RTTPurchase)))))+Underwriting!$S8)/(Underwriting!$M8/12),0))</f>
        <v>0.15</v>
      </c>
      <c r="AK9" s="32" t="n">
        <f aca="false">IF(Underwriting!$A8="","",IFERROR(Underwriting!$Z8/(((AH9)*(1+BuyerPremium)+IF(N(Deals!S8)=0,0,MIN(N(Deals!S8),MAX(0,N(Deals!S8)+SheriffCostsFromBid-(AH9)*(1-RTTPurchase)))))+Underwriting!$AA8),0))</f>
        <v>0.052941225526948</v>
      </c>
    </row>
    <row r="10" customFormat="false" ht="15" hidden="false" customHeight="true" outlineLevel="0" collapsed="false">
      <c r="A10" s="1" t="str">
        <f aca="false">Underwriting!$A9</f>
        <v>1318974-6</v>
      </c>
      <c r="B10" s="1" t="str">
        <f aca="false">Underwriting!$B9</f>
        <v>6 Slow ejectment proxy: ARV 395k, Medium, occupied, Heavy timeline</v>
      </c>
      <c r="C10" s="31" t="n">
        <f aca="false">IF(Underwriting!$A9="","",N(Deals!M9))</f>
        <v>395000</v>
      </c>
      <c r="D10" s="31" t="n">
        <f aca="false">IF(Underwriting!$A9="","",N(Deals!D9))</f>
        <v>24700</v>
      </c>
      <c r="E10" s="31" t="n">
        <f aca="false">IF(Underwriting!$A9="","",Underwriting!$D9)</f>
        <v>143571.623711002</v>
      </c>
      <c r="F10" s="31" t="n">
        <f aca="false">IF(Underwriting!$A9="","",$D10)</f>
        <v>24700</v>
      </c>
      <c r="G10" s="31" t="n">
        <f aca="false">IF(Underwriting!$A9="","",Underwriting!$T9-((F10)*(1+BuyerPremium)+IF(N(Deals!S9)=0,0,MIN(N(Deals!S9),MAX(0,N(Deals!S9)+SheriffCostsFromBid-(F10)*(1-RTTPurchase))))))</f>
        <v>213549.4814</v>
      </c>
      <c r="H10" s="32" t="n">
        <f aca="false">IF(Underwriting!$A9="","",IFERROR(G10/(((F10)*(1+BuyerPremium)+IF(N(Deals!S9)=0,0,MIN(N(Deals!S9),MAX(0,N(Deals!S9)+SheriffCostsFromBid-(F10)*(1-RTTPurchase)))))+Underwriting!$S9)/(Underwriting!$M9/12),0))</f>
        <v>0.632231682771783</v>
      </c>
      <c r="I10" s="32" t="n">
        <f aca="false">IF(Underwriting!$A9="","",IFERROR(Underwriting!$Z9/(((F10)*(1+BuyerPremium)+IF(N(Deals!S9)=0,0,MIN(N(Deals!S9),MAX(0,N(Deals!S9)+SheriffCostsFromBid-(F10)*(1-RTTPurchase)))))+Underwriting!$AA9),0))</f>
        <v>0.109607376259432</v>
      </c>
      <c r="J10" s="31" t="n">
        <f aca="false">IF(Underwriting!$A9="","",ROUND(J$2*$C10,-3))</f>
        <v>79000</v>
      </c>
      <c r="K10" s="31" t="n">
        <f aca="false">IF(Underwriting!$A9="","",Underwriting!$T9-((J10)*(1+BuyerPremium)+IF(N(Deals!S9)=0,0,MIN(N(Deals!S9),MAX(0,N(Deals!S9)+SheriffCostsFromBid-(J10)*(1-RTTPurchase))))))</f>
        <v>158434.9814</v>
      </c>
      <c r="L10" s="32" t="n">
        <f aca="false">IF(Underwriting!$A9="","",IFERROR(K10/(((J10)*(1+BuyerPremium)+IF(N(Deals!S9)=0,0,MIN(N(Deals!S9),MAX(0,N(Deals!S9)+SheriffCostsFromBid-(J10)*(1-RTTPurchase)))))+Underwriting!$S9)/(Underwriting!$M9/12),0))</f>
        <v>0.339718456831172</v>
      </c>
      <c r="M10" s="32" t="n">
        <f aca="false">IF(Underwriting!$A9="","",IFERROR(Underwriting!$Z9/(((J10)*(1+BuyerPremium)+IF(N(Deals!S9)=0,0,MIN(N(Deals!S9),MAX(0,N(Deals!S9)+SheriffCostsFromBid-(J10)*(1-RTTPurchase)))))+Underwriting!$AA9),0))</f>
        <v>0.079268448862832</v>
      </c>
      <c r="N10" s="31" t="n">
        <f aca="false">IF(Underwriting!$A9="","",ROUND(N$2*$C10,-3))</f>
        <v>119000</v>
      </c>
      <c r="O10" s="31" t="n">
        <f aca="false">IF(Underwriting!$A9="","",Underwriting!$T9-((N10)*(1+BuyerPremium)+IF(N(Deals!S9)=0,0,MIN(N(Deals!S9),MAX(0,N(Deals!S9)+SheriffCostsFromBid-(N10)*(1-RTTPurchase))))))</f>
        <v>117834.9814</v>
      </c>
      <c r="P10" s="32" t="n">
        <f aca="false">IF(Underwriting!$A9="","",IFERROR(O10/(((N10)*(1+BuyerPremium)+IF(N(Deals!S9)=0,0,MIN(N(Deals!S9),MAX(0,N(Deals!S9)+SheriffCostsFromBid-(N10)*(1-RTTPurchase)))))+Underwriting!$S9)/(Underwriting!$M9/12),0))</f>
        <v>0.210005314134209</v>
      </c>
      <c r="Q10" s="32" t="n">
        <f aca="false">IF(Underwriting!$A9="","",IFERROR(Underwriting!$Z9/(((N10)*(1+BuyerPremium)+IF(N(Deals!S9)=0,0,MIN(N(Deals!S9),MAX(0,N(Deals!S9)+SheriffCostsFromBid-(N10)*(1-RTTPurchase)))))+Underwriting!$AA9),0))</f>
        <v>0.0658429640978223</v>
      </c>
      <c r="R10" s="31" t="n">
        <f aca="false">IF(Underwriting!$A9="","",ROUND(R$2*$C10,-3))</f>
        <v>158000</v>
      </c>
      <c r="S10" s="31" t="n">
        <f aca="false">IF(Underwriting!$A9="","",Underwriting!$T9-((R10)*(1+BuyerPremium)+IF(N(Deals!S9)=0,0,MIN(N(Deals!S9),MAX(0,N(Deals!S9)+SheriffCostsFromBid-(R10)*(1-RTTPurchase))))))</f>
        <v>78249.9814000001</v>
      </c>
      <c r="T10" s="32" t="n">
        <f aca="false">IF(Underwriting!$A9="","",IFERROR(S10/(((R10)*(1+BuyerPremium)+IF(N(Deals!S9)=0,0,MIN(N(Deals!S9),MAX(0,N(Deals!S9)+SheriffCostsFromBid-(R10)*(1-RTTPurchase)))))+Underwriting!$S9)/(Underwriting!$M9/12),0))</f>
        <v>0.119745374892355</v>
      </c>
      <c r="U10" s="32" t="n">
        <f aca="false">IF(Underwriting!$A9="","",IFERROR(Underwriting!$Z9/(((R10)*(1+BuyerPremium)+IF(N(Deals!S9)=0,0,MIN(N(Deals!S9),MAX(0,N(Deals!S9)+SheriffCostsFromBid-(R10)*(1-RTTPurchase)))))+Underwriting!$AA9),0))</f>
        <v>0.0565111076087564</v>
      </c>
      <c r="V10" s="31" t="n">
        <f aca="false">IF(Underwriting!$A9="","",ROUND(V$2*$C10,-3))</f>
        <v>198000</v>
      </c>
      <c r="W10" s="31" t="n">
        <f aca="false">IF(Underwriting!$A9="","",Underwriting!$T9-((V10)*(1+BuyerPremium)+IF(N(Deals!S9)=0,0,MIN(N(Deals!S9),MAX(0,N(Deals!S9)+SheriffCostsFromBid-(V10)*(1-RTTPurchase))))))</f>
        <v>37649.9814000001</v>
      </c>
      <c r="X10" s="32" t="n">
        <f aca="false">IF(Underwriting!$A9="","",IFERROR(W10/(((V10)*(1+BuyerPremium)+IF(N(Deals!S9)=0,0,MIN(N(Deals!S9),MAX(0,N(Deals!S9)+SheriffCostsFromBid-(V10)*(1-RTTPurchase)))))+Underwriting!$S9)/(Underwriting!$M9/12),0))</f>
        <v>0.0503205369399239</v>
      </c>
      <c r="Y10" s="32" t="n">
        <f aca="false">IF(Underwriting!$A9="","",IFERROR(Underwriting!$Z9/(((V10)*(1+BuyerPremium)+IF(N(Deals!S9)=0,0,MIN(N(Deals!S9),MAX(0,N(Deals!S9)+SheriffCostsFromBid-(V10)*(1-RTTPurchase)))))+Underwriting!$AA9),0))</f>
        <v>0.0493390344882844</v>
      </c>
      <c r="Z10" s="31" t="n">
        <f aca="false">IF(Underwriting!$A9="","",ROUND(Z$2*$C10,-3))</f>
        <v>237000</v>
      </c>
      <c r="AA10" s="31" t="n">
        <f aca="false">IF(Underwriting!$A9="","",Underwriting!$T9-((Z10)*(1+BuyerPremium)+IF(N(Deals!S9)=0,0,MIN(N(Deals!S9),MAX(0,N(Deals!S9)+SheriffCostsFromBid-(Z10)*(1-RTTPurchase))))))</f>
        <v>-1935.01859999995</v>
      </c>
      <c r="AB10" s="32" t="n">
        <f aca="false">IF(Underwriting!$A9="","",IFERROR(AA10/(((Z10)*(1+BuyerPremium)+IF(N(Deals!S9)=0,0,MIN(N(Deals!S9),MAX(0,N(Deals!S9)+SheriffCostsFromBid-(Z10)*(1-RTTPurchase)))))+Underwriting!$S9)/(Underwriting!$M9/12),0))</f>
        <v>-0.00230203670017146</v>
      </c>
      <c r="AC10" s="32" t="n">
        <f aca="false">IF(Underwriting!$A9="","",IFERROR(Underwriting!$Z9/(((Z10)*(1+BuyerPremium)+IF(N(Deals!S9)=0,0,MIN(N(Deals!S9),MAX(0,N(Deals!S9)+SheriffCostsFromBid-(Z10)*(1-RTTPurchase)))))+Underwriting!$AA9),0))</f>
        <v>0.0439060343324345</v>
      </c>
      <c r="AD10" s="31" t="n">
        <f aca="false">IF(Underwriting!$A9="","",ROUND(AD$2*$C10,-3))</f>
        <v>277000</v>
      </c>
      <c r="AE10" s="31" t="n">
        <f aca="false">IF(Underwriting!$A9="","",Underwriting!$T9-((AD10)*(1+BuyerPremium)+IF(N(Deals!S9)=0,0,MIN(N(Deals!S9),MAX(0,N(Deals!S9)+SheriffCostsFromBid-(AD10)*(1-RTTPurchase))))))</f>
        <v>-42535.0186</v>
      </c>
      <c r="AF10" s="32" t="n">
        <f aca="false">IF(Underwriting!$A9="","",IFERROR(AE10/(((AD10)*(1+BuyerPremium)+IF(N(Deals!S9)=0,0,MIN(N(Deals!S9),MAX(0,N(Deals!S9)+SheriffCostsFromBid-(AD10)*(1-RTTPurchase)))))+Underwriting!$S9)/(Underwriting!$M9/12),0))</f>
        <v>-0.0454773374489113</v>
      </c>
      <c r="AG10" s="32" t="n">
        <f aca="false">IF(Underwriting!$A9="","",IFERROR(Underwriting!$Z9/(((AD10)*(1+BuyerPremium)+IF(N(Deals!S9)=0,0,MIN(N(Deals!S9),MAX(0,N(Deals!S9)+SheriffCostsFromBid-(AD10)*(1-RTTPurchase)))))+Underwriting!$AA9),0))</f>
        <v>0.0394505260632917</v>
      </c>
      <c r="AH10" s="31" t="n">
        <f aca="false">IF(Underwriting!$A9="","",$E10)</f>
        <v>143571.623711002</v>
      </c>
      <c r="AI10" s="31" t="n">
        <f aca="false">IF(Underwriting!$A9="","",Underwriting!$T9-((AH10)*(1+BuyerPremium)+IF(N(Deals!S9)=0,0,MIN(N(Deals!S9),MAX(0,N(Deals!S9)+SheriffCostsFromBid-(AH10)*(1-RTTPurchase))))))</f>
        <v>92894.7833333334</v>
      </c>
      <c r="AJ10" s="32" t="n">
        <f aca="false">IF(Underwriting!$A9="","",IFERROR(AI10/(((AH10)*(1+BuyerPremium)+IF(N(Deals!S9)=0,0,MIN(N(Deals!S9),MAX(0,N(Deals!S9)+SheriffCostsFromBid-(AH10)*(1-RTTPurchase)))))+Underwriting!$S9)/(Underwriting!$M9/12),0))</f>
        <v>0.15</v>
      </c>
      <c r="AK10" s="32" t="n">
        <f aca="false">IF(Underwriting!$A9="","",IFERROR(Underwriting!$Z9/(((AH10)*(1+BuyerPremium)+IF(N(Deals!S9)=0,0,MIN(N(Deals!S9),MAX(0,N(Deals!S9)+SheriffCostsFromBid-(AH10)*(1-RTTPurchase)))))+Underwriting!$AA9),0))</f>
        <v>0.0596381646283054</v>
      </c>
    </row>
    <row r="11" customFormat="false" ht="15" hidden="false" customHeight="true" outlineLevel="0" collapsed="false">
      <c r="A11" s="1" t="str">
        <f aca="false">Underwriting!$A10</f>
        <v/>
      </c>
      <c r="B11" s="1" t="str">
        <f aca="false">Underwriting!$B10</f>
        <v/>
      </c>
      <c r="C11" s="31" t="str">
        <f aca="false">IF(Underwriting!$A10="","",N(Deals!M10))</f>
        <v/>
      </c>
      <c r="D11" s="31" t="str">
        <f aca="false">IF(Underwriting!$A10="","",N(Deals!D10))</f>
        <v/>
      </c>
      <c r="E11" s="31" t="str">
        <f aca="false">IF(Underwriting!$A10="","",Underwriting!$D10)</f>
        <v/>
      </c>
      <c r="F11" s="31" t="str">
        <f aca="false">IF(Underwriting!$A10="","",$D11)</f>
        <v/>
      </c>
      <c r="G11" s="31" t="str">
        <f aca="false">IF(Underwriting!$A10="","",Underwriting!$T10-((F11)*(1+BuyerPremium)+IF(N(Deals!S10)=0,0,MIN(N(Deals!S10),MAX(0,N(Deals!S10)+SheriffCostsFromBid-(F11)*(1-RTTPurchase))))))</f>
        <v/>
      </c>
      <c r="H11" s="32" t="str">
        <f aca="false">IF(Underwriting!$A10="","",IFERROR(G11/(((F11)*(1+BuyerPremium)+IF(N(Deals!S10)=0,0,MIN(N(Deals!S10),MAX(0,N(Deals!S10)+SheriffCostsFromBid-(F11)*(1-RTTPurchase)))))+Underwriting!$S10)/(Underwriting!$M10/12),0))</f>
        <v/>
      </c>
      <c r="I11" s="32" t="str">
        <f aca="false">IF(Underwriting!$A10="","",IFERROR(Underwriting!$Z10/(((F11)*(1+BuyerPremium)+IF(N(Deals!S10)=0,0,MIN(N(Deals!S10),MAX(0,N(Deals!S10)+SheriffCostsFromBid-(F11)*(1-RTTPurchase)))))+Underwriting!$AA10),0))</f>
        <v/>
      </c>
      <c r="J11" s="31" t="str">
        <f aca="false">IF(Underwriting!$A10="","",ROUND(J$2*$C11,-3))</f>
        <v/>
      </c>
      <c r="K11" s="31" t="str">
        <f aca="false">IF(Underwriting!$A10="","",Underwriting!$T10-((J11)*(1+BuyerPremium)+IF(N(Deals!S10)=0,0,MIN(N(Deals!S10),MAX(0,N(Deals!S10)+SheriffCostsFromBid-(J11)*(1-RTTPurchase))))))</f>
        <v/>
      </c>
      <c r="L11" s="32" t="str">
        <f aca="false">IF(Underwriting!$A10="","",IFERROR(K11/(((J11)*(1+BuyerPremium)+IF(N(Deals!S10)=0,0,MIN(N(Deals!S10),MAX(0,N(Deals!S10)+SheriffCostsFromBid-(J11)*(1-RTTPurchase)))))+Underwriting!$S10)/(Underwriting!$M10/12),0))</f>
        <v/>
      </c>
      <c r="M11" s="32" t="str">
        <f aca="false">IF(Underwriting!$A10="","",IFERROR(Underwriting!$Z10/(((J11)*(1+BuyerPremium)+IF(N(Deals!S10)=0,0,MIN(N(Deals!S10),MAX(0,N(Deals!S10)+SheriffCostsFromBid-(J11)*(1-RTTPurchase)))))+Underwriting!$AA10),0))</f>
        <v/>
      </c>
      <c r="N11" s="31" t="str">
        <f aca="false">IF(Underwriting!$A10="","",ROUND(N$2*$C11,-3))</f>
        <v/>
      </c>
      <c r="O11" s="31" t="str">
        <f aca="false">IF(Underwriting!$A10="","",Underwriting!$T10-((N11)*(1+BuyerPremium)+IF(N(Deals!S10)=0,0,MIN(N(Deals!S10),MAX(0,N(Deals!S10)+SheriffCostsFromBid-(N11)*(1-RTTPurchase))))))</f>
        <v/>
      </c>
      <c r="P11" s="32" t="str">
        <f aca="false">IF(Underwriting!$A10="","",IFERROR(O11/(((N11)*(1+BuyerPremium)+IF(N(Deals!S10)=0,0,MIN(N(Deals!S10),MAX(0,N(Deals!S10)+SheriffCostsFromBid-(N11)*(1-RTTPurchase)))))+Underwriting!$S10)/(Underwriting!$M10/12),0))</f>
        <v/>
      </c>
      <c r="Q11" s="32" t="str">
        <f aca="false">IF(Underwriting!$A10="","",IFERROR(Underwriting!$Z10/(((N11)*(1+BuyerPremium)+IF(N(Deals!S10)=0,0,MIN(N(Deals!S10),MAX(0,N(Deals!S10)+SheriffCostsFromBid-(N11)*(1-RTTPurchase)))))+Underwriting!$AA10),0))</f>
        <v/>
      </c>
      <c r="R11" s="31" t="str">
        <f aca="false">IF(Underwriting!$A10="","",ROUND(R$2*$C11,-3))</f>
        <v/>
      </c>
      <c r="S11" s="31" t="str">
        <f aca="false">IF(Underwriting!$A10="","",Underwriting!$T10-((R11)*(1+BuyerPremium)+IF(N(Deals!S10)=0,0,MIN(N(Deals!S10),MAX(0,N(Deals!S10)+SheriffCostsFromBid-(R11)*(1-RTTPurchase))))))</f>
        <v/>
      </c>
      <c r="T11" s="32" t="str">
        <f aca="false">IF(Underwriting!$A10="","",IFERROR(S11/(((R11)*(1+BuyerPremium)+IF(N(Deals!S10)=0,0,MIN(N(Deals!S10),MAX(0,N(Deals!S10)+SheriffCostsFromBid-(R11)*(1-RTTPurchase)))))+Underwriting!$S10)/(Underwriting!$M10/12),0))</f>
        <v/>
      </c>
      <c r="U11" s="32" t="str">
        <f aca="false">IF(Underwriting!$A10="","",IFERROR(Underwriting!$Z10/(((R11)*(1+BuyerPremium)+IF(N(Deals!S10)=0,0,MIN(N(Deals!S10),MAX(0,N(Deals!S10)+SheriffCostsFromBid-(R11)*(1-RTTPurchase)))))+Underwriting!$AA10),0))</f>
        <v/>
      </c>
      <c r="V11" s="31" t="str">
        <f aca="false">IF(Underwriting!$A10="","",ROUND(V$2*$C11,-3))</f>
        <v/>
      </c>
      <c r="W11" s="31" t="str">
        <f aca="false">IF(Underwriting!$A10="","",Underwriting!$T10-((V11)*(1+BuyerPremium)+IF(N(Deals!S10)=0,0,MIN(N(Deals!S10),MAX(0,N(Deals!S10)+SheriffCostsFromBid-(V11)*(1-RTTPurchase))))))</f>
        <v/>
      </c>
      <c r="X11" s="32" t="str">
        <f aca="false">IF(Underwriting!$A10="","",IFERROR(W11/(((V11)*(1+BuyerPremium)+IF(N(Deals!S10)=0,0,MIN(N(Deals!S10),MAX(0,N(Deals!S10)+SheriffCostsFromBid-(V11)*(1-RTTPurchase)))))+Underwriting!$S10)/(Underwriting!$M10/12),0))</f>
        <v/>
      </c>
      <c r="Y11" s="32" t="str">
        <f aca="false">IF(Underwriting!$A10="","",IFERROR(Underwriting!$Z10/(((V11)*(1+BuyerPremium)+IF(N(Deals!S10)=0,0,MIN(N(Deals!S10),MAX(0,N(Deals!S10)+SheriffCostsFromBid-(V11)*(1-RTTPurchase)))))+Underwriting!$AA10),0))</f>
        <v/>
      </c>
      <c r="Z11" s="31" t="str">
        <f aca="false">IF(Underwriting!$A10="","",ROUND(Z$2*$C11,-3))</f>
        <v/>
      </c>
      <c r="AA11" s="31" t="str">
        <f aca="false">IF(Underwriting!$A10="","",Underwriting!$T10-((Z11)*(1+BuyerPremium)+IF(N(Deals!S10)=0,0,MIN(N(Deals!S10),MAX(0,N(Deals!S10)+SheriffCostsFromBid-(Z11)*(1-RTTPurchase))))))</f>
        <v/>
      </c>
      <c r="AB11" s="32" t="str">
        <f aca="false">IF(Underwriting!$A10="","",IFERROR(AA11/(((Z11)*(1+BuyerPremium)+IF(N(Deals!S10)=0,0,MIN(N(Deals!S10),MAX(0,N(Deals!S10)+SheriffCostsFromBid-(Z11)*(1-RTTPurchase)))))+Underwriting!$S10)/(Underwriting!$M10/12),0))</f>
        <v/>
      </c>
      <c r="AC11" s="32" t="str">
        <f aca="false">IF(Underwriting!$A10="","",IFERROR(Underwriting!$Z10/(((Z11)*(1+BuyerPremium)+IF(N(Deals!S10)=0,0,MIN(N(Deals!S10),MAX(0,N(Deals!S10)+SheriffCostsFromBid-(Z11)*(1-RTTPurchase)))))+Underwriting!$AA10),0))</f>
        <v/>
      </c>
      <c r="AD11" s="31" t="str">
        <f aca="false">IF(Underwriting!$A10="","",ROUND(AD$2*$C11,-3))</f>
        <v/>
      </c>
      <c r="AE11" s="31" t="str">
        <f aca="false">IF(Underwriting!$A10="","",Underwriting!$T10-((AD11)*(1+BuyerPremium)+IF(N(Deals!S10)=0,0,MIN(N(Deals!S10),MAX(0,N(Deals!S10)+SheriffCostsFromBid-(AD11)*(1-RTTPurchase))))))</f>
        <v/>
      </c>
      <c r="AF11" s="32" t="str">
        <f aca="false">IF(Underwriting!$A10="","",IFERROR(AE11/(((AD11)*(1+BuyerPremium)+IF(N(Deals!S10)=0,0,MIN(N(Deals!S10),MAX(0,N(Deals!S10)+SheriffCostsFromBid-(AD11)*(1-RTTPurchase)))))+Underwriting!$S10)/(Underwriting!$M10/12),0))</f>
        <v/>
      </c>
      <c r="AG11" s="32" t="str">
        <f aca="false">IF(Underwriting!$A10="","",IFERROR(Underwriting!$Z10/(((AD11)*(1+BuyerPremium)+IF(N(Deals!S10)=0,0,MIN(N(Deals!S10),MAX(0,N(Deals!S10)+SheriffCostsFromBid-(AD11)*(1-RTTPurchase)))))+Underwriting!$AA10),0))</f>
        <v/>
      </c>
      <c r="AH11" s="31" t="str">
        <f aca="false">IF(Underwriting!$A10="","",$E11)</f>
        <v/>
      </c>
      <c r="AI11" s="31" t="str">
        <f aca="false">IF(Underwriting!$A10="","",Underwriting!$T10-((AH11)*(1+BuyerPremium)+IF(N(Deals!S10)=0,0,MIN(N(Deals!S10),MAX(0,N(Deals!S10)+SheriffCostsFromBid-(AH11)*(1-RTTPurchase))))))</f>
        <v/>
      </c>
      <c r="AJ11" s="32" t="str">
        <f aca="false">IF(Underwriting!$A10="","",IFERROR(AI11/(((AH11)*(1+BuyerPremium)+IF(N(Deals!S10)=0,0,MIN(N(Deals!S10),MAX(0,N(Deals!S10)+SheriffCostsFromBid-(AH11)*(1-RTTPurchase)))))+Underwriting!$S10)/(Underwriting!$M10/12),0))</f>
        <v/>
      </c>
      <c r="AK11" s="32" t="str">
        <f aca="false">IF(Underwriting!$A10="","",IFERROR(Underwriting!$Z10/(((AH11)*(1+BuyerPremium)+IF(N(Deals!S10)=0,0,MIN(N(Deals!S10),MAX(0,N(Deals!S10)+SheriffCostsFromBid-(AH11)*(1-RTTPurchase)))))+Underwriting!$AA10),0))</f>
        <v/>
      </c>
    </row>
    <row r="12" customFormat="false" ht="15" hidden="false" customHeight="true" outlineLevel="0" collapsed="false">
      <c r="A12" s="1" t="str">
        <f aca="false">Underwriting!$A11</f>
        <v/>
      </c>
      <c r="B12" s="1" t="str">
        <f aca="false">Underwriting!$B11</f>
        <v/>
      </c>
      <c r="C12" s="31" t="str">
        <f aca="false">IF(Underwriting!$A11="","",N(Deals!M11))</f>
        <v/>
      </c>
      <c r="D12" s="31" t="str">
        <f aca="false">IF(Underwriting!$A11="","",N(Deals!D11))</f>
        <v/>
      </c>
      <c r="E12" s="31" t="str">
        <f aca="false">IF(Underwriting!$A11="","",Underwriting!$D11)</f>
        <v/>
      </c>
      <c r="F12" s="31" t="str">
        <f aca="false">IF(Underwriting!$A11="","",$D12)</f>
        <v/>
      </c>
      <c r="G12" s="31" t="str">
        <f aca="false">IF(Underwriting!$A11="","",Underwriting!$T11-((F12)*(1+BuyerPremium)+IF(N(Deals!S11)=0,0,MIN(N(Deals!S11),MAX(0,N(Deals!S11)+SheriffCostsFromBid-(F12)*(1-RTTPurchase))))))</f>
        <v/>
      </c>
      <c r="H12" s="32" t="str">
        <f aca="false">IF(Underwriting!$A11="","",IFERROR(G12/(((F12)*(1+BuyerPremium)+IF(N(Deals!S11)=0,0,MIN(N(Deals!S11),MAX(0,N(Deals!S11)+SheriffCostsFromBid-(F12)*(1-RTTPurchase)))))+Underwriting!$S11)/(Underwriting!$M11/12),0))</f>
        <v/>
      </c>
      <c r="I12" s="32" t="str">
        <f aca="false">IF(Underwriting!$A11="","",IFERROR(Underwriting!$Z11/(((F12)*(1+BuyerPremium)+IF(N(Deals!S11)=0,0,MIN(N(Deals!S11),MAX(0,N(Deals!S11)+SheriffCostsFromBid-(F12)*(1-RTTPurchase)))))+Underwriting!$AA11),0))</f>
        <v/>
      </c>
      <c r="J12" s="31" t="str">
        <f aca="false">IF(Underwriting!$A11="","",ROUND(J$2*$C12,-3))</f>
        <v/>
      </c>
      <c r="K12" s="31" t="str">
        <f aca="false">IF(Underwriting!$A11="","",Underwriting!$T11-((J12)*(1+BuyerPremium)+IF(N(Deals!S11)=0,0,MIN(N(Deals!S11),MAX(0,N(Deals!S11)+SheriffCostsFromBid-(J12)*(1-RTTPurchase))))))</f>
        <v/>
      </c>
      <c r="L12" s="32" t="str">
        <f aca="false">IF(Underwriting!$A11="","",IFERROR(K12/(((J12)*(1+BuyerPremium)+IF(N(Deals!S11)=0,0,MIN(N(Deals!S11),MAX(0,N(Deals!S11)+SheriffCostsFromBid-(J12)*(1-RTTPurchase)))))+Underwriting!$S11)/(Underwriting!$M11/12),0))</f>
        <v/>
      </c>
      <c r="M12" s="32" t="str">
        <f aca="false">IF(Underwriting!$A11="","",IFERROR(Underwriting!$Z11/(((J12)*(1+BuyerPremium)+IF(N(Deals!S11)=0,0,MIN(N(Deals!S11),MAX(0,N(Deals!S11)+SheriffCostsFromBid-(J12)*(1-RTTPurchase)))))+Underwriting!$AA11),0))</f>
        <v/>
      </c>
      <c r="N12" s="31" t="str">
        <f aca="false">IF(Underwriting!$A11="","",ROUND(N$2*$C12,-3))</f>
        <v/>
      </c>
      <c r="O12" s="31" t="str">
        <f aca="false">IF(Underwriting!$A11="","",Underwriting!$T11-((N12)*(1+BuyerPremium)+IF(N(Deals!S11)=0,0,MIN(N(Deals!S11),MAX(0,N(Deals!S11)+SheriffCostsFromBid-(N12)*(1-RTTPurchase))))))</f>
        <v/>
      </c>
      <c r="P12" s="32" t="str">
        <f aca="false">IF(Underwriting!$A11="","",IFERROR(O12/(((N12)*(1+BuyerPremium)+IF(N(Deals!S11)=0,0,MIN(N(Deals!S11),MAX(0,N(Deals!S11)+SheriffCostsFromBid-(N12)*(1-RTTPurchase)))))+Underwriting!$S11)/(Underwriting!$M11/12),0))</f>
        <v/>
      </c>
      <c r="Q12" s="32" t="str">
        <f aca="false">IF(Underwriting!$A11="","",IFERROR(Underwriting!$Z11/(((N12)*(1+BuyerPremium)+IF(N(Deals!S11)=0,0,MIN(N(Deals!S11),MAX(0,N(Deals!S11)+SheriffCostsFromBid-(N12)*(1-RTTPurchase)))))+Underwriting!$AA11),0))</f>
        <v/>
      </c>
      <c r="R12" s="31" t="str">
        <f aca="false">IF(Underwriting!$A11="","",ROUND(R$2*$C12,-3))</f>
        <v/>
      </c>
      <c r="S12" s="31" t="str">
        <f aca="false">IF(Underwriting!$A11="","",Underwriting!$T11-((R12)*(1+BuyerPremium)+IF(N(Deals!S11)=0,0,MIN(N(Deals!S11),MAX(0,N(Deals!S11)+SheriffCostsFromBid-(R12)*(1-RTTPurchase))))))</f>
        <v/>
      </c>
      <c r="T12" s="32" t="str">
        <f aca="false">IF(Underwriting!$A11="","",IFERROR(S12/(((R12)*(1+BuyerPremium)+IF(N(Deals!S11)=0,0,MIN(N(Deals!S11),MAX(0,N(Deals!S11)+SheriffCostsFromBid-(R12)*(1-RTTPurchase)))))+Underwriting!$S11)/(Underwriting!$M11/12),0))</f>
        <v/>
      </c>
      <c r="U12" s="32" t="str">
        <f aca="false">IF(Underwriting!$A11="","",IFERROR(Underwriting!$Z11/(((R12)*(1+BuyerPremium)+IF(N(Deals!S11)=0,0,MIN(N(Deals!S11),MAX(0,N(Deals!S11)+SheriffCostsFromBid-(R12)*(1-RTTPurchase)))))+Underwriting!$AA11),0))</f>
        <v/>
      </c>
      <c r="V12" s="31" t="str">
        <f aca="false">IF(Underwriting!$A11="","",ROUND(V$2*$C12,-3))</f>
        <v/>
      </c>
      <c r="W12" s="31" t="str">
        <f aca="false">IF(Underwriting!$A11="","",Underwriting!$T11-((V12)*(1+BuyerPremium)+IF(N(Deals!S11)=0,0,MIN(N(Deals!S11),MAX(0,N(Deals!S11)+SheriffCostsFromBid-(V12)*(1-RTTPurchase))))))</f>
        <v/>
      </c>
      <c r="X12" s="32" t="str">
        <f aca="false">IF(Underwriting!$A11="","",IFERROR(W12/(((V12)*(1+BuyerPremium)+IF(N(Deals!S11)=0,0,MIN(N(Deals!S11),MAX(0,N(Deals!S11)+SheriffCostsFromBid-(V12)*(1-RTTPurchase)))))+Underwriting!$S11)/(Underwriting!$M11/12),0))</f>
        <v/>
      </c>
      <c r="Y12" s="32" t="str">
        <f aca="false">IF(Underwriting!$A11="","",IFERROR(Underwriting!$Z11/(((V12)*(1+BuyerPremium)+IF(N(Deals!S11)=0,0,MIN(N(Deals!S11),MAX(0,N(Deals!S11)+SheriffCostsFromBid-(V12)*(1-RTTPurchase)))))+Underwriting!$AA11),0))</f>
        <v/>
      </c>
      <c r="Z12" s="31" t="str">
        <f aca="false">IF(Underwriting!$A11="","",ROUND(Z$2*$C12,-3))</f>
        <v/>
      </c>
      <c r="AA12" s="31" t="str">
        <f aca="false">IF(Underwriting!$A11="","",Underwriting!$T11-((Z12)*(1+BuyerPremium)+IF(N(Deals!S11)=0,0,MIN(N(Deals!S11),MAX(0,N(Deals!S11)+SheriffCostsFromBid-(Z12)*(1-RTTPurchase))))))</f>
        <v/>
      </c>
      <c r="AB12" s="32" t="str">
        <f aca="false">IF(Underwriting!$A11="","",IFERROR(AA12/(((Z12)*(1+BuyerPremium)+IF(N(Deals!S11)=0,0,MIN(N(Deals!S11),MAX(0,N(Deals!S11)+SheriffCostsFromBid-(Z12)*(1-RTTPurchase)))))+Underwriting!$S11)/(Underwriting!$M11/12),0))</f>
        <v/>
      </c>
      <c r="AC12" s="32" t="str">
        <f aca="false">IF(Underwriting!$A11="","",IFERROR(Underwriting!$Z11/(((Z12)*(1+BuyerPremium)+IF(N(Deals!S11)=0,0,MIN(N(Deals!S11),MAX(0,N(Deals!S11)+SheriffCostsFromBid-(Z12)*(1-RTTPurchase)))))+Underwriting!$AA11),0))</f>
        <v/>
      </c>
      <c r="AD12" s="31" t="str">
        <f aca="false">IF(Underwriting!$A11="","",ROUND(AD$2*$C12,-3))</f>
        <v/>
      </c>
      <c r="AE12" s="31" t="str">
        <f aca="false">IF(Underwriting!$A11="","",Underwriting!$T11-((AD12)*(1+BuyerPremium)+IF(N(Deals!S11)=0,0,MIN(N(Deals!S11),MAX(0,N(Deals!S11)+SheriffCostsFromBid-(AD12)*(1-RTTPurchase))))))</f>
        <v/>
      </c>
      <c r="AF12" s="32" t="str">
        <f aca="false">IF(Underwriting!$A11="","",IFERROR(AE12/(((AD12)*(1+BuyerPremium)+IF(N(Deals!S11)=0,0,MIN(N(Deals!S11),MAX(0,N(Deals!S11)+SheriffCostsFromBid-(AD12)*(1-RTTPurchase)))))+Underwriting!$S11)/(Underwriting!$M11/12),0))</f>
        <v/>
      </c>
      <c r="AG12" s="32" t="str">
        <f aca="false">IF(Underwriting!$A11="","",IFERROR(Underwriting!$Z11/(((AD12)*(1+BuyerPremium)+IF(N(Deals!S11)=0,0,MIN(N(Deals!S11),MAX(0,N(Deals!S11)+SheriffCostsFromBid-(AD12)*(1-RTTPurchase)))))+Underwriting!$AA11),0))</f>
        <v/>
      </c>
      <c r="AH12" s="31" t="str">
        <f aca="false">IF(Underwriting!$A11="","",$E12)</f>
        <v/>
      </c>
      <c r="AI12" s="31" t="str">
        <f aca="false">IF(Underwriting!$A11="","",Underwriting!$T11-((AH12)*(1+BuyerPremium)+IF(N(Deals!S11)=0,0,MIN(N(Deals!S11),MAX(0,N(Deals!S11)+SheriffCostsFromBid-(AH12)*(1-RTTPurchase))))))</f>
        <v/>
      </c>
      <c r="AJ12" s="32" t="str">
        <f aca="false">IF(Underwriting!$A11="","",IFERROR(AI12/(((AH12)*(1+BuyerPremium)+IF(N(Deals!S11)=0,0,MIN(N(Deals!S11),MAX(0,N(Deals!S11)+SheriffCostsFromBid-(AH12)*(1-RTTPurchase)))))+Underwriting!$S11)/(Underwriting!$M11/12),0))</f>
        <v/>
      </c>
      <c r="AK12" s="32" t="str">
        <f aca="false">IF(Underwriting!$A11="","",IFERROR(Underwriting!$Z11/(((AH12)*(1+BuyerPremium)+IF(N(Deals!S11)=0,0,MIN(N(Deals!S11),MAX(0,N(Deals!S11)+SheriffCostsFromBid-(AH12)*(1-RTTPurchase)))))+Underwriting!$AA11),0))</f>
        <v/>
      </c>
    </row>
    <row r="13" customFormat="false" ht="15" hidden="false" customHeight="true" outlineLevel="0" collapsed="false">
      <c r="A13" s="1" t="str">
        <f aca="false">Underwriting!$A12</f>
        <v/>
      </c>
      <c r="B13" s="1" t="str">
        <f aca="false">Underwriting!$B12</f>
        <v/>
      </c>
      <c r="C13" s="31" t="str">
        <f aca="false">IF(Underwriting!$A12="","",N(Deals!M12))</f>
        <v/>
      </c>
      <c r="D13" s="31" t="str">
        <f aca="false">IF(Underwriting!$A12="","",N(Deals!D12))</f>
        <v/>
      </c>
      <c r="E13" s="31" t="str">
        <f aca="false">IF(Underwriting!$A12="","",Underwriting!$D12)</f>
        <v/>
      </c>
      <c r="F13" s="31" t="str">
        <f aca="false">IF(Underwriting!$A12="","",$D13)</f>
        <v/>
      </c>
      <c r="G13" s="31" t="str">
        <f aca="false">IF(Underwriting!$A12="","",Underwriting!$T12-((F13)*(1+BuyerPremium)+IF(N(Deals!S12)=0,0,MIN(N(Deals!S12),MAX(0,N(Deals!S12)+SheriffCostsFromBid-(F13)*(1-RTTPurchase))))))</f>
        <v/>
      </c>
      <c r="H13" s="32" t="str">
        <f aca="false">IF(Underwriting!$A12="","",IFERROR(G13/(((F13)*(1+BuyerPremium)+IF(N(Deals!S12)=0,0,MIN(N(Deals!S12),MAX(0,N(Deals!S12)+SheriffCostsFromBid-(F13)*(1-RTTPurchase)))))+Underwriting!$S12)/(Underwriting!$M12/12),0))</f>
        <v/>
      </c>
      <c r="I13" s="32" t="str">
        <f aca="false">IF(Underwriting!$A12="","",IFERROR(Underwriting!$Z12/(((F13)*(1+BuyerPremium)+IF(N(Deals!S12)=0,0,MIN(N(Deals!S12),MAX(0,N(Deals!S12)+SheriffCostsFromBid-(F13)*(1-RTTPurchase)))))+Underwriting!$AA12),0))</f>
        <v/>
      </c>
      <c r="J13" s="31" t="str">
        <f aca="false">IF(Underwriting!$A12="","",ROUND(J$2*$C13,-3))</f>
        <v/>
      </c>
      <c r="K13" s="31" t="str">
        <f aca="false">IF(Underwriting!$A12="","",Underwriting!$T12-((J13)*(1+BuyerPremium)+IF(N(Deals!S12)=0,0,MIN(N(Deals!S12),MAX(0,N(Deals!S12)+SheriffCostsFromBid-(J13)*(1-RTTPurchase))))))</f>
        <v/>
      </c>
      <c r="L13" s="32" t="str">
        <f aca="false">IF(Underwriting!$A12="","",IFERROR(K13/(((J13)*(1+BuyerPremium)+IF(N(Deals!S12)=0,0,MIN(N(Deals!S12),MAX(0,N(Deals!S12)+SheriffCostsFromBid-(J13)*(1-RTTPurchase)))))+Underwriting!$S12)/(Underwriting!$M12/12),0))</f>
        <v/>
      </c>
      <c r="M13" s="32" t="str">
        <f aca="false">IF(Underwriting!$A12="","",IFERROR(Underwriting!$Z12/(((J13)*(1+BuyerPremium)+IF(N(Deals!S12)=0,0,MIN(N(Deals!S12),MAX(0,N(Deals!S12)+SheriffCostsFromBid-(J13)*(1-RTTPurchase)))))+Underwriting!$AA12),0))</f>
        <v/>
      </c>
      <c r="N13" s="31" t="str">
        <f aca="false">IF(Underwriting!$A12="","",ROUND(N$2*$C13,-3))</f>
        <v/>
      </c>
      <c r="O13" s="31" t="str">
        <f aca="false">IF(Underwriting!$A12="","",Underwriting!$T12-((N13)*(1+BuyerPremium)+IF(N(Deals!S12)=0,0,MIN(N(Deals!S12),MAX(0,N(Deals!S12)+SheriffCostsFromBid-(N13)*(1-RTTPurchase))))))</f>
        <v/>
      </c>
      <c r="P13" s="32" t="str">
        <f aca="false">IF(Underwriting!$A12="","",IFERROR(O13/(((N13)*(1+BuyerPremium)+IF(N(Deals!S12)=0,0,MIN(N(Deals!S12),MAX(0,N(Deals!S12)+SheriffCostsFromBid-(N13)*(1-RTTPurchase)))))+Underwriting!$S12)/(Underwriting!$M12/12),0))</f>
        <v/>
      </c>
      <c r="Q13" s="32" t="str">
        <f aca="false">IF(Underwriting!$A12="","",IFERROR(Underwriting!$Z12/(((N13)*(1+BuyerPremium)+IF(N(Deals!S12)=0,0,MIN(N(Deals!S12),MAX(0,N(Deals!S12)+SheriffCostsFromBid-(N13)*(1-RTTPurchase)))))+Underwriting!$AA12),0))</f>
        <v/>
      </c>
      <c r="R13" s="31" t="str">
        <f aca="false">IF(Underwriting!$A12="","",ROUND(R$2*$C13,-3))</f>
        <v/>
      </c>
      <c r="S13" s="31" t="str">
        <f aca="false">IF(Underwriting!$A12="","",Underwriting!$T12-((R13)*(1+BuyerPremium)+IF(N(Deals!S12)=0,0,MIN(N(Deals!S12),MAX(0,N(Deals!S12)+SheriffCostsFromBid-(R13)*(1-RTTPurchase))))))</f>
        <v/>
      </c>
      <c r="T13" s="32" t="str">
        <f aca="false">IF(Underwriting!$A12="","",IFERROR(S13/(((R13)*(1+BuyerPremium)+IF(N(Deals!S12)=0,0,MIN(N(Deals!S12),MAX(0,N(Deals!S12)+SheriffCostsFromBid-(R13)*(1-RTTPurchase)))))+Underwriting!$S12)/(Underwriting!$M12/12),0))</f>
        <v/>
      </c>
      <c r="U13" s="32" t="str">
        <f aca="false">IF(Underwriting!$A12="","",IFERROR(Underwriting!$Z12/(((R13)*(1+BuyerPremium)+IF(N(Deals!S12)=0,0,MIN(N(Deals!S12),MAX(0,N(Deals!S12)+SheriffCostsFromBid-(R13)*(1-RTTPurchase)))))+Underwriting!$AA12),0))</f>
        <v/>
      </c>
      <c r="V13" s="31" t="str">
        <f aca="false">IF(Underwriting!$A12="","",ROUND(V$2*$C13,-3))</f>
        <v/>
      </c>
      <c r="W13" s="31" t="str">
        <f aca="false">IF(Underwriting!$A12="","",Underwriting!$T12-((V13)*(1+BuyerPremium)+IF(N(Deals!S12)=0,0,MIN(N(Deals!S12),MAX(0,N(Deals!S12)+SheriffCostsFromBid-(V13)*(1-RTTPurchase))))))</f>
        <v/>
      </c>
      <c r="X13" s="32" t="str">
        <f aca="false">IF(Underwriting!$A12="","",IFERROR(W13/(((V13)*(1+BuyerPremium)+IF(N(Deals!S12)=0,0,MIN(N(Deals!S12),MAX(0,N(Deals!S12)+SheriffCostsFromBid-(V13)*(1-RTTPurchase)))))+Underwriting!$S12)/(Underwriting!$M12/12),0))</f>
        <v/>
      </c>
      <c r="Y13" s="32" t="str">
        <f aca="false">IF(Underwriting!$A12="","",IFERROR(Underwriting!$Z12/(((V13)*(1+BuyerPremium)+IF(N(Deals!S12)=0,0,MIN(N(Deals!S12),MAX(0,N(Deals!S12)+SheriffCostsFromBid-(V13)*(1-RTTPurchase)))))+Underwriting!$AA12),0))</f>
        <v/>
      </c>
      <c r="Z13" s="31" t="str">
        <f aca="false">IF(Underwriting!$A12="","",ROUND(Z$2*$C13,-3))</f>
        <v/>
      </c>
      <c r="AA13" s="31" t="str">
        <f aca="false">IF(Underwriting!$A12="","",Underwriting!$T12-((Z13)*(1+BuyerPremium)+IF(N(Deals!S12)=0,0,MIN(N(Deals!S12),MAX(0,N(Deals!S12)+SheriffCostsFromBid-(Z13)*(1-RTTPurchase))))))</f>
        <v/>
      </c>
      <c r="AB13" s="32" t="str">
        <f aca="false">IF(Underwriting!$A12="","",IFERROR(AA13/(((Z13)*(1+BuyerPremium)+IF(N(Deals!S12)=0,0,MIN(N(Deals!S12),MAX(0,N(Deals!S12)+SheriffCostsFromBid-(Z13)*(1-RTTPurchase)))))+Underwriting!$S12)/(Underwriting!$M12/12),0))</f>
        <v/>
      </c>
      <c r="AC13" s="32" t="str">
        <f aca="false">IF(Underwriting!$A12="","",IFERROR(Underwriting!$Z12/(((Z13)*(1+BuyerPremium)+IF(N(Deals!S12)=0,0,MIN(N(Deals!S12),MAX(0,N(Deals!S12)+SheriffCostsFromBid-(Z13)*(1-RTTPurchase)))))+Underwriting!$AA12),0))</f>
        <v/>
      </c>
      <c r="AD13" s="31" t="str">
        <f aca="false">IF(Underwriting!$A12="","",ROUND(AD$2*$C13,-3))</f>
        <v/>
      </c>
      <c r="AE13" s="31" t="str">
        <f aca="false">IF(Underwriting!$A12="","",Underwriting!$T12-((AD13)*(1+BuyerPremium)+IF(N(Deals!S12)=0,0,MIN(N(Deals!S12),MAX(0,N(Deals!S12)+SheriffCostsFromBid-(AD13)*(1-RTTPurchase))))))</f>
        <v/>
      </c>
      <c r="AF13" s="32" t="str">
        <f aca="false">IF(Underwriting!$A12="","",IFERROR(AE13/(((AD13)*(1+BuyerPremium)+IF(N(Deals!S12)=0,0,MIN(N(Deals!S12),MAX(0,N(Deals!S12)+SheriffCostsFromBid-(AD13)*(1-RTTPurchase)))))+Underwriting!$S12)/(Underwriting!$M12/12),0))</f>
        <v/>
      </c>
      <c r="AG13" s="32" t="str">
        <f aca="false">IF(Underwriting!$A12="","",IFERROR(Underwriting!$Z12/(((AD13)*(1+BuyerPremium)+IF(N(Deals!S12)=0,0,MIN(N(Deals!S12),MAX(0,N(Deals!S12)+SheriffCostsFromBid-(AD13)*(1-RTTPurchase)))))+Underwriting!$AA12),0))</f>
        <v/>
      </c>
      <c r="AH13" s="31" t="str">
        <f aca="false">IF(Underwriting!$A12="","",$E13)</f>
        <v/>
      </c>
      <c r="AI13" s="31" t="str">
        <f aca="false">IF(Underwriting!$A12="","",Underwriting!$T12-((AH13)*(1+BuyerPremium)+IF(N(Deals!S12)=0,0,MIN(N(Deals!S12),MAX(0,N(Deals!S12)+SheriffCostsFromBid-(AH13)*(1-RTTPurchase))))))</f>
        <v/>
      </c>
      <c r="AJ13" s="32" t="str">
        <f aca="false">IF(Underwriting!$A12="","",IFERROR(AI13/(((AH13)*(1+BuyerPremium)+IF(N(Deals!S12)=0,0,MIN(N(Deals!S12),MAX(0,N(Deals!S12)+SheriffCostsFromBid-(AH13)*(1-RTTPurchase)))))+Underwriting!$S12)/(Underwriting!$M12/12),0))</f>
        <v/>
      </c>
      <c r="AK13" s="32" t="str">
        <f aca="false">IF(Underwriting!$A12="","",IFERROR(Underwriting!$Z12/(((AH13)*(1+BuyerPremium)+IF(N(Deals!S12)=0,0,MIN(N(Deals!S12),MAX(0,N(Deals!S12)+SheriffCostsFromBid-(AH13)*(1-RTTPurchase)))))+Underwriting!$AA12),0))</f>
        <v/>
      </c>
    </row>
    <row r="14" customFormat="false" ht="15" hidden="false" customHeight="true" outlineLevel="0" collapsed="false">
      <c r="A14" s="1" t="str">
        <f aca="false">Underwriting!$A13</f>
        <v/>
      </c>
      <c r="B14" s="1" t="str">
        <f aca="false">Underwriting!$B13</f>
        <v/>
      </c>
      <c r="C14" s="31" t="str">
        <f aca="false">IF(Underwriting!$A13="","",N(Deals!M13))</f>
        <v/>
      </c>
      <c r="D14" s="31" t="str">
        <f aca="false">IF(Underwriting!$A13="","",N(Deals!D13))</f>
        <v/>
      </c>
      <c r="E14" s="31" t="str">
        <f aca="false">IF(Underwriting!$A13="","",Underwriting!$D13)</f>
        <v/>
      </c>
      <c r="F14" s="31" t="str">
        <f aca="false">IF(Underwriting!$A13="","",$D14)</f>
        <v/>
      </c>
      <c r="G14" s="31" t="str">
        <f aca="false">IF(Underwriting!$A13="","",Underwriting!$T13-((F14)*(1+BuyerPremium)+IF(N(Deals!S13)=0,0,MIN(N(Deals!S13),MAX(0,N(Deals!S13)+SheriffCostsFromBid-(F14)*(1-RTTPurchase))))))</f>
        <v/>
      </c>
      <c r="H14" s="32" t="str">
        <f aca="false">IF(Underwriting!$A13="","",IFERROR(G14/(((F14)*(1+BuyerPremium)+IF(N(Deals!S13)=0,0,MIN(N(Deals!S13),MAX(0,N(Deals!S13)+SheriffCostsFromBid-(F14)*(1-RTTPurchase)))))+Underwriting!$S13)/(Underwriting!$M13/12),0))</f>
        <v/>
      </c>
      <c r="I14" s="32" t="str">
        <f aca="false">IF(Underwriting!$A13="","",IFERROR(Underwriting!$Z13/(((F14)*(1+BuyerPremium)+IF(N(Deals!S13)=0,0,MIN(N(Deals!S13),MAX(0,N(Deals!S13)+SheriffCostsFromBid-(F14)*(1-RTTPurchase)))))+Underwriting!$AA13),0))</f>
        <v/>
      </c>
      <c r="J14" s="31" t="str">
        <f aca="false">IF(Underwriting!$A13="","",ROUND(J$2*$C14,-3))</f>
        <v/>
      </c>
      <c r="K14" s="31" t="str">
        <f aca="false">IF(Underwriting!$A13="","",Underwriting!$T13-((J14)*(1+BuyerPremium)+IF(N(Deals!S13)=0,0,MIN(N(Deals!S13),MAX(0,N(Deals!S13)+SheriffCostsFromBid-(J14)*(1-RTTPurchase))))))</f>
        <v/>
      </c>
      <c r="L14" s="32" t="str">
        <f aca="false">IF(Underwriting!$A13="","",IFERROR(K14/(((J14)*(1+BuyerPremium)+IF(N(Deals!S13)=0,0,MIN(N(Deals!S13),MAX(0,N(Deals!S13)+SheriffCostsFromBid-(J14)*(1-RTTPurchase)))))+Underwriting!$S13)/(Underwriting!$M13/12),0))</f>
        <v/>
      </c>
      <c r="M14" s="32" t="str">
        <f aca="false">IF(Underwriting!$A13="","",IFERROR(Underwriting!$Z13/(((J14)*(1+BuyerPremium)+IF(N(Deals!S13)=0,0,MIN(N(Deals!S13),MAX(0,N(Deals!S13)+SheriffCostsFromBid-(J14)*(1-RTTPurchase)))))+Underwriting!$AA13),0))</f>
        <v/>
      </c>
      <c r="N14" s="31" t="str">
        <f aca="false">IF(Underwriting!$A13="","",ROUND(N$2*$C14,-3))</f>
        <v/>
      </c>
      <c r="O14" s="31" t="str">
        <f aca="false">IF(Underwriting!$A13="","",Underwriting!$T13-((N14)*(1+BuyerPremium)+IF(N(Deals!S13)=0,0,MIN(N(Deals!S13),MAX(0,N(Deals!S13)+SheriffCostsFromBid-(N14)*(1-RTTPurchase))))))</f>
        <v/>
      </c>
      <c r="P14" s="32" t="str">
        <f aca="false">IF(Underwriting!$A13="","",IFERROR(O14/(((N14)*(1+BuyerPremium)+IF(N(Deals!S13)=0,0,MIN(N(Deals!S13),MAX(0,N(Deals!S13)+SheriffCostsFromBid-(N14)*(1-RTTPurchase)))))+Underwriting!$S13)/(Underwriting!$M13/12),0))</f>
        <v/>
      </c>
      <c r="Q14" s="32" t="str">
        <f aca="false">IF(Underwriting!$A13="","",IFERROR(Underwriting!$Z13/(((N14)*(1+BuyerPremium)+IF(N(Deals!S13)=0,0,MIN(N(Deals!S13),MAX(0,N(Deals!S13)+SheriffCostsFromBid-(N14)*(1-RTTPurchase)))))+Underwriting!$AA13),0))</f>
        <v/>
      </c>
      <c r="R14" s="31" t="str">
        <f aca="false">IF(Underwriting!$A13="","",ROUND(R$2*$C14,-3))</f>
        <v/>
      </c>
      <c r="S14" s="31" t="str">
        <f aca="false">IF(Underwriting!$A13="","",Underwriting!$T13-((R14)*(1+BuyerPremium)+IF(N(Deals!S13)=0,0,MIN(N(Deals!S13),MAX(0,N(Deals!S13)+SheriffCostsFromBid-(R14)*(1-RTTPurchase))))))</f>
        <v/>
      </c>
      <c r="T14" s="32" t="str">
        <f aca="false">IF(Underwriting!$A13="","",IFERROR(S14/(((R14)*(1+BuyerPremium)+IF(N(Deals!S13)=0,0,MIN(N(Deals!S13),MAX(0,N(Deals!S13)+SheriffCostsFromBid-(R14)*(1-RTTPurchase)))))+Underwriting!$S13)/(Underwriting!$M13/12),0))</f>
        <v/>
      </c>
      <c r="U14" s="32" t="str">
        <f aca="false">IF(Underwriting!$A13="","",IFERROR(Underwriting!$Z13/(((R14)*(1+BuyerPremium)+IF(N(Deals!S13)=0,0,MIN(N(Deals!S13),MAX(0,N(Deals!S13)+SheriffCostsFromBid-(R14)*(1-RTTPurchase)))))+Underwriting!$AA13),0))</f>
        <v/>
      </c>
      <c r="V14" s="31" t="str">
        <f aca="false">IF(Underwriting!$A13="","",ROUND(V$2*$C14,-3))</f>
        <v/>
      </c>
      <c r="W14" s="31" t="str">
        <f aca="false">IF(Underwriting!$A13="","",Underwriting!$T13-((V14)*(1+BuyerPremium)+IF(N(Deals!S13)=0,0,MIN(N(Deals!S13),MAX(0,N(Deals!S13)+SheriffCostsFromBid-(V14)*(1-RTTPurchase))))))</f>
        <v/>
      </c>
      <c r="X14" s="32" t="str">
        <f aca="false">IF(Underwriting!$A13="","",IFERROR(W14/(((V14)*(1+BuyerPremium)+IF(N(Deals!S13)=0,0,MIN(N(Deals!S13),MAX(0,N(Deals!S13)+SheriffCostsFromBid-(V14)*(1-RTTPurchase)))))+Underwriting!$S13)/(Underwriting!$M13/12),0))</f>
        <v/>
      </c>
      <c r="Y14" s="32" t="str">
        <f aca="false">IF(Underwriting!$A13="","",IFERROR(Underwriting!$Z13/(((V14)*(1+BuyerPremium)+IF(N(Deals!S13)=0,0,MIN(N(Deals!S13),MAX(0,N(Deals!S13)+SheriffCostsFromBid-(V14)*(1-RTTPurchase)))))+Underwriting!$AA13),0))</f>
        <v/>
      </c>
      <c r="Z14" s="31" t="str">
        <f aca="false">IF(Underwriting!$A13="","",ROUND(Z$2*$C14,-3))</f>
        <v/>
      </c>
      <c r="AA14" s="31" t="str">
        <f aca="false">IF(Underwriting!$A13="","",Underwriting!$T13-((Z14)*(1+BuyerPremium)+IF(N(Deals!S13)=0,0,MIN(N(Deals!S13),MAX(0,N(Deals!S13)+SheriffCostsFromBid-(Z14)*(1-RTTPurchase))))))</f>
        <v/>
      </c>
      <c r="AB14" s="32" t="str">
        <f aca="false">IF(Underwriting!$A13="","",IFERROR(AA14/(((Z14)*(1+BuyerPremium)+IF(N(Deals!S13)=0,0,MIN(N(Deals!S13),MAX(0,N(Deals!S13)+SheriffCostsFromBid-(Z14)*(1-RTTPurchase)))))+Underwriting!$S13)/(Underwriting!$M13/12),0))</f>
        <v/>
      </c>
      <c r="AC14" s="32" t="str">
        <f aca="false">IF(Underwriting!$A13="","",IFERROR(Underwriting!$Z13/(((Z14)*(1+BuyerPremium)+IF(N(Deals!S13)=0,0,MIN(N(Deals!S13),MAX(0,N(Deals!S13)+SheriffCostsFromBid-(Z14)*(1-RTTPurchase)))))+Underwriting!$AA13),0))</f>
        <v/>
      </c>
      <c r="AD14" s="31" t="str">
        <f aca="false">IF(Underwriting!$A13="","",ROUND(AD$2*$C14,-3))</f>
        <v/>
      </c>
      <c r="AE14" s="31" t="str">
        <f aca="false">IF(Underwriting!$A13="","",Underwriting!$T13-((AD14)*(1+BuyerPremium)+IF(N(Deals!S13)=0,0,MIN(N(Deals!S13),MAX(0,N(Deals!S13)+SheriffCostsFromBid-(AD14)*(1-RTTPurchase))))))</f>
        <v/>
      </c>
      <c r="AF14" s="32" t="str">
        <f aca="false">IF(Underwriting!$A13="","",IFERROR(AE14/(((AD14)*(1+BuyerPremium)+IF(N(Deals!S13)=0,0,MIN(N(Deals!S13),MAX(0,N(Deals!S13)+SheriffCostsFromBid-(AD14)*(1-RTTPurchase)))))+Underwriting!$S13)/(Underwriting!$M13/12),0))</f>
        <v/>
      </c>
      <c r="AG14" s="32" t="str">
        <f aca="false">IF(Underwriting!$A13="","",IFERROR(Underwriting!$Z13/(((AD14)*(1+BuyerPremium)+IF(N(Deals!S13)=0,0,MIN(N(Deals!S13),MAX(0,N(Deals!S13)+SheriffCostsFromBid-(AD14)*(1-RTTPurchase)))))+Underwriting!$AA13),0))</f>
        <v/>
      </c>
      <c r="AH14" s="31" t="str">
        <f aca="false">IF(Underwriting!$A13="","",$E14)</f>
        <v/>
      </c>
      <c r="AI14" s="31" t="str">
        <f aca="false">IF(Underwriting!$A13="","",Underwriting!$T13-((AH14)*(1+BuyerPremium)+IF(N(Deals!S13)=0,0,MIN(N(Deals!S13),MAX(0,N(Deals!S13)+SheriffCostsFromBid-(AH14)*(1-RTTPurchase))))))</f>
        <v/>
      </c>
      <c r="AJ14" s="32" t="str">
        <f aca="false">IF(Underwriting!$A13="","",IFERROR(AI14/(((AH14)*(1+BuyerPremium)+IF(N(Deals!S13)=0,0,MIN(N(Deals!S13),MAX(0,N(Deals!S13)+SheriffCostsFromBid-(AH14)*(1-RTTPurchase)))))+Underwriting!$S13)/(Underwriting!$M13/12),0))</f>
        <v/>
      </c>
      <c r="AK14" s="32" t="str">
        <f aca="false">IF(Underwriting!$A13="","",IFERROR(Underwriting!$Z13/(((AH14)*(1+BuyerPremium)+IF(N(Deals!S13)=0,0,MIN(N(Deals!S13),MAX(0,N(Deals!S13)+SheriffCostsFromBid-(AH14)*(1-RTTPurchase)))))+Underwriting!$AA13),0))</f>
        <v/>
      </c>
    </row>
    <row r="15" customFormat="false" ht="15" hidden="false" customHeight="true" outlineLevel="0" collapsed="false">
      <c r="A15" s="1" t="str">
        <f aca="false">Underwriting!$A14</f>
        <v/>
      </c>
      <c r="B15" s="1" t="str">
        <f aca="false">Underwriting!$B14</f>
        <v/>
      </c>
      <c r="C15" s="31" t="str">
        <f aca="false">IF(Underwriting!$A14="","",N(Deals!M14))</f>
        <v/>
      </c>
      <c r="D15" s="31" t="str">
        <f aca="false">IF(Underwriting!$A14="","",N(Deals!D14))</f>
        <v/>
      </c>
      <c r="E15" s="31" t="str">
        <f aca="false">IF(Underwriting!$A14="","",Underwriting!$D14)</f>
        <v/>
      </c>
      <c r="F15" s="31" t="str">
        <f aca="false">IF(Underwriting!$A14="","",$D15)</f>
        <v/>
      </c>
      <c r="G15" s="31" t="str">
        <f aca="false">IF(Underwriting!$A14="","",Underwriting!$T14-((F15)*(1+BuyerPremium)+IF(N(Deals!S14)=0,0,MIN(N(Deals!S14),MAX(0,N(Deals!S14)+SheriffCostsFromBid-(F15)*(1-RTTPurchase))))))</f>
        <v/>
      </c>
      <c r="H15" s="32" t="str">
        <f aca="false">IF(Underwriting!$A14="","",IFERROR(G15/(((F15)*(1+BuyerPremium)+IF(N(Deals!S14)=0,0,MIN(N(Deals!S14),MAX(0,N(Deals!S14)+SheriffCostsFromBid-(F15)*(1-RTTPurchase)))))+Underwriting!$S14)/(Underwriting!$M14/12),0))</f>
        <v/>
      </c>
      <c r="I15" s="32" t="str">
        <f aca="false">IF(Underwriting!$A14="","",IFERROR(Underwriting!$Z14/(((F15)*(1+BuyerPremium)+IF(N(Deals!S14)=0,0,MIN(N(Deals!S14),MAX(0,N(Deals!S14)+SheriffCostsFromBid-(F15)*(1-RTTPurchase)))))+Underwriting!$AA14),0))</f>
        <v/>
      </c>
      <c r="J15" s="31" t="str">
        <f aca="false">IF(Underwriting!$A14="","",ROUND(J$2*$C15,-3))</f>
        <v/>
      </c>
      <c r="K15" s="31" t="str">
        <f aca="false">IF(Underwriting!$A14="","",Underwriting!$T14-((J15)*(1+BuyerPremium)+IF(N(Deals!S14)=0,0,MIN(N(Deals!S14),MAX(0,N(Deals!S14)+SheriffCostsFromBid-(J15)*(1-RTTPurchase))))))</f>
        <v/>
      </c>
      <c r="L15" s="32" t="str">
        <f aca="false">IF(Underwriting!$A14="","",IFERROR(K15/(((J15)*(1+BuyerPremium)+IF(N(Deals!S14)=0,0,MIN(N(Deals!S14),MAX(0,N(Deals!S14)+SheriffCostsFromBid-(J15)*(1-RTTPurchase)))))+Underwriting!$S14)/(Underwriting!$M14/12),0))</f>
        <v/>
      </c>
      <c r="M15" s="32" t="str">
        <f aca="false">IF(Underwriting!$A14="","",IFERROR(Underwriting!$Z14/(((J15)*(1+BuyerPremium)+IF(N(Deals!S14)=0,0,MIN(N(Deals!S14),MAX(0,N(Deals!S14)+SheriffCostsFromBid-(J15)*(1-RTTPurchase)))))+Underwriting!$AA14),0))</f>
        <v/>
      </c>
      <c r="N15" s="31" t="str">
        <f aca="false">IF(Underwriting!$A14="","",ROUND(N$2*$C15,-3))</f>
        <v/>
      </c>
      <c r="O15" s="31" t="str">
        <f aca="false">IF(Underwriting!$A14="","",Underwriting!$T14-((N15)*(1+BuyerPremium)+IF(N(Deals!S14)=0,0,MIN(N(Deals!S14),MAX(0,N(Deals!S14)+SheriffCostsFromBid-(N15)*(1-RTTPurchase))))))</f>
        <v/>
      </c>
      <c r="P15" s="32" t="str">
        <f aca="false">IF(Underwriting!$A14="","",IFERROR(O15/(((N15)*(1+BuyerPremium)+IF(N(Deals!S14)=0,0,MIN(N(Deals!S14),MAX(0,N(Deals!S14)+SheriffCostsFromBid-(N15)*(1-RTTPurchase)))))+Underwriting!$S14)/(Underwriting!$M14/12),0))</f>
        <v/>
      </c>
      <c r="Q15" s="32" t="str">
        <f aca="false">IF(Underwriting!$A14="","",IFERROR(Underwriting!$Z14/(((N15)*(1+BuyerPremium)+IF(N(Deals!S14)=0,0,MIN(N(Deals!S14),MAX(0,N(Deals!S14)+SheriffCostsFromBid-(N15)*(1-RTTPurchase)))))+Underwriting!$AA14),0))</f>
        <v/>
      </c>
      <c r="R15" s="31" t="str">
        <f aca="false">IF(Underwriting!$A14="","",ROUND(R$2*$C15,-3))</f>
        <v/>
      </c>
      <c r="S15" s="31" t="str">
        <f aca="false">IF(Underwriting!$A14="","",Underwriting!$T14-((R15)*(1+BuyerPremium)+IF(N(Deals!S14)=0,0,MIN(N(Deals!S14),MAX(0,N(Deals!S14)+SheriffCostsFromBid-(R15)*(1-RTTPurchase))))))</f>
        <v/>
      </c>
      <c r="T15" s="32" t="str">
        <f aca="false">IF(Underwriting!$A14="","",IFERROR(S15/(((R15)*(1+BuyerPremium)+IF(N(Deals!S14)=0,0,MIN(N(Deals!S14),MAX(0,N(Deals!S14)+SheriffCostsFromBid-(R15)*(1-RTTPurchase)))))+Underwriting!$S14)/(Underwriting!$M14/12),0))</f>
        <v/>
      </c>
      <c r="U15" s="32" t="str">
        <f aca="false">IF(Underwriting!$A14="","",IFERROR(Underwriting!$Z14/(((R15)*(1+BuyerPremium)+IF(N(Deals!S14)=0,0,MIN(N(Deals!S14),MAX(0,N(Deals!S14)+SheriffCostsFromBid-(R15)*(1-RTTPurchase)))))+Underwriting!$AA14),0))</f>
        <v/>
      </c>
      <c r="V15" s="31" t="str">
        <f aca="false">IF(Underwriting!$A14="","",ROUND(V$2*$C15,-3))</f>
        <v/>
      </c>
      <c r="W15" s="31" t="str">
        <f aca="false">IF(Underwriting!$A14="","",Underwriting!$T14-((V15)*(1+BuyerPremium)+IF(N(Deals!S14)=0,0,MIN(N(Deals!S14),MAX(0,N(Deals!S14)+SheriffCostsFromBid-(V15)*(1-RTTPurchase))))))</f>
        <v/>
      </c>
      <c r="X15" s="32" t="str">
        <f aca="false">IF(Underwriting!$A14="","",IFERROR(W15/(((V15)*(1+BuyerPremium)+IF(N(Deals!S14)=0,0,MIN(N(Deals!S14),MAX(0,N(Deals!S14)+SheriffCostsFromBid-(V15)*(1-RTTPurchase)))))+Underwriting!$S14)/(Underwriting!$M14/12),0))</f>
        <v/>
      </c>
      <c r="Y15" s="32" t="str">
        <f aca="false">IF(Underwriting!$A14="","",IFERROR(Underwriting!$Z14/(((V15)*(1+BuyerPremium)+IF(N(Deals!S14)=0,0,MIN(N(Deals!S14),MAX(0,N(Deals!S14)+SheriffCostsFromBid-(V15)*(1-RTTPurchase)))))+Underwriting!$AA14),0))</f>
        <v/>
      </c>
      <c r="Z15" s="31" t="str">
        <f aca="false">IF(Underwriting!$A14="","",ROUND(Z$2*$C15,-3))</f>
        <v/>
      </c>
      <c r="AA15" s="31" t="str">
        <f aca="false">IF(Underwriting!$A14="","",Underwriting!$T14-((Z15)*(1+BuyerPremium)+IF(N(Deals!S14)=0,0,MIN(N(Deals!S14),MAX(0,N(Deals!S14)+SheriffCostsFromBid-(Z15)*(1-RTTPurchase))))))</f>
        <v/>
      </c>
      <c r="AB15" s="32" t="str">
        <f aca="false">IF(Underwriting!$A14="","",IFERROR(AA15/(((Z15)*(1+BuyerPremium)+IF(N(Deals!S14)=0,0,MIN(N(Deals!S14),MAX(0,N(Deals!S14)+SheriffCostsFromBid-(Z15)*(1-RTTPurchase)))))+Underwriting!$S14)/(Underwriting!$M14/12),0))</f>
        <v/>
      </c>
      <c r="AC15" s="32" t="str">
        <f aca="false">IF(Underwriting!$A14="","",IFERROR(Underwriting!$Z14/(((Z15)*(1+BuyerPremium)+IF(N(Deals!S14)=0,0,MIN(N(Deals!S14),MAX(0,N(Deals!S14)+SheriffCostsFromBid-(Z15)*(1-RTTPurchase)))))+Underwriting!$AA14),0))</f>
        <v/>
      </c>
      <c r="AD15" s="31" t="str">
        <f aca="false">IF(Underwriting!$A14="","",ROUND(AD$2*$C15,-3))</f>
        <v/>
      </c>
      <c r="AE15" s="31" t="str">
        <f aca="false">IF(Underwriting!$A14="","",Underwriting!$T14-((AD15)*(1+BuyerPremium)+IF(N(Deals!S14)=0,0,MIN(N(Deals!S14),MAX(0,N(Deals!S14)+SheriffCostsFromBid-(AD15)*(1-RTTPurchase))))))</f>
        <v/>
      </c>
      <c r="AF15" s="32" t="str">
        <f aca="false">IF(Underwriting!$A14="","",IFERROR(AE15/(((AD15)*(1+BuyerPremium)+IF(N(Deals!S14)=0,0,MIN(N(Deals!S14),MAX(0,N(Deals!S14)+SheriffCostsFromBid-(AD15)*(1-RTTPurchase)))))+Underwriting!$S14)/(Underwriting!$M14/12),0))</f>
        <v/>
      </c>
      <c r="AG15" s="32" t="str">
        <f aca="false">IF(Underwriting!$A14="","",IFERROR(Underwriting!$Z14/(((AD15)*(1+BuyerPremium)+IF(N(Deals!S14)=0,0,MIN(N(Deals!S14),MAX(0,N(Deals!S14)+SheriffCostsFromBid-(AD15)*(1-RTTPurchase)))))+Underwriting!$AA14),0))</f>
        <v/>
      </c>
      <c r="AH15" s="31" t="str">
        <f aca="false">IF(Underwriting!$A14="","",$E15)</f>
        <v/>
      </c>
      <c r="AI15" s="31" t="str">
        <f aca="false">IF(Underwriting!$A14="","",Underwriting!$T14-((AH15)*(1+BuyerPremium)+IF(N(Deals!S14)=0,0,MIN(N(Deals!S14),MAX(0,N(Deals!S14)+SheriffCostsFromBid-(AH15)*(1-RTTPurchase))))))</f>
        <v/>
      </c>
      <c r="AJ15" s="32" t="str">
        <f aca="false">IF(Underwriting!$A14="","",IFERROR(AI15/(((AH15)*(1+BuyerPremium)+IF(N(Deals!S14)=0,0,MIN(N(Deals!S14),MAX(0,N(Deals!S14)+SheriffCostsFromBid-(AH15)*(1-RTTPurchase)))))+Underwriting!$S14)/(Underwriting!$M14/12),0))</f>
        <v/>
      </c>
      <c r="AK15" s="32" t="str">
        <f aca="false">IF(Underwriting!$A14="","",IFERROR(Underwriting!$Z14/(((AH15)*(1+BuyerPremium)+IF(N(Deals!S14)=0,0,MIN(N(Deals!S14),MAX(0,N(Deals!S14)+SheriffCostsFromBid-(AH15)*(1-RTTPurchase)))))+Underwriting!$AA14),0))</f>
        <v/>
      </c>
    </row>
    <row r="16" customFormat="false" ht="15" hidden="false" customHeight="true" outlineLevel="0" collapsed="false">
      <c r="A16" s="1" t="str">
        <f aca="false">Underwriting!$A15</f>
        <v/>
      </c>
      <c r="B16" s="1" t="str">
        <f aca="false">Underwriting!$B15</f>
        <v/>
      </c>
      <c r="C16" s="31" t="str">
        <f aca="false">IF(Underwriting!$A15="","",N(Deals!M15))</f>
        <v/>
      </c>
      <c r="D16" s="31" t="str">
        <f aca="false">IF(Underwriting!$A15="","",N(Deals!D15))</f>
        <v/>
      </c>
      <c r="E16" s="31" t="str">
        <f aca="false">IF(Underwriting!$A15="","",Underwriting!$D15)</f>
        <v/>
      </c>
      <c r="F16" s="31" t="str">
        <f aca="false">IF(Underwriting!$A15="","",$D16)</f>
        <v/>
      </c>
      <c r="G16" s="31" t="str">
        <f aca="false">IF(Underwriting!$A15="","",Underwriting!$T15-((F16)*(1+BuyerPremium)+IF(N(Deals!S15)=0,0,MIN(N(Deals!S15),MAX(0,N(Deals!S15)+SheriffCostsFromBid-(F16)*(1-RTTPurchase))))))</f>
        <v/>
      </c>
      <c r="H16" s="32" t="str">
        <f aca="false">IF(Underwriting!$A15="","",IFERROR(G16/(((F16)*(1+BuyerPremium)+IF(N(Deals!S15)=0,0,MIN(N(Deals!S15),MAX(0,N(Deals!S15)+SheriffCostsFromBid-(F16)*(1-RTTPurchase)))))+Underwriting!$S15)/(Underwriting!$M15/12),0))</f>
        <v/>
      </c>
      <c r="I16" s="32" t="str">
        <f aca="false">IF(Underwriting!$A15="","",IFERROR(Underwriting!$Z15/(((F16)*(1+BuyerPremium)+IF(N(Deals!S15)=0,0,MIN(N(Deals!S15),MAX(0,N(Deals!S15)+SheriffCostsFromBid-(F16)*(1-RTTPurchase)))))+Underwriting!$AA15),0))</f>
        <v/>
      </c>
      <c r="J16" s="31" t="str">
        <f aca="false">IF(Underwriting!$A15="","",ROUND(J$2*$C16,-3))</f>
        <v/>
      </c>
      <c r="K16" s="31" t="str">
        <f aca="false">IF(Underwriting!$A15="","",Underwriting!$T15-((J16)*(1+BuyerPremium)+IF(N(Deals!S15)=0,0,MIN(N(Deals!S15),MAX(0,N(Deals!S15)+SheriffCostsFromBid-(J16)*(1-RTTPurchase))))))</f>
        <v/>
      </c>
      <c r="L16" s="32" t="str">
        <f aca="false">IF(Underwriting!$A15="","",IFERROR(K16/(((J16)*(1+BuyerPremium)+IF(N(Deals!S15)=0,0,MIN(N(Deals!S15),MAX(0,N(Deals!S15)+SheriffCostsFromBid-(J16)*(1-RTTPurchase)))))+Underwriting!$S15)/(Underwriting!$M15/12),0))</f>
        <v/>
      </c>
      <c r="M16" s="32" t="str">
        <f aca="false">IF(Underwriting!$A15="","",IFERROR(Underwriting!$Z15/(((J16)*(1+BuyerPremium)+IF(N(Deals!S15)=0,0,MIN(N(Deals!S15),MAX(0,N(Deals!S15)+SheriffCostsFromBid-(J16)*(1-RTTPurchase)))))+Underwriting!$AA15),0))</f>
        <v/>
      </c>
      <c r="N16" s="31" t="str">
        <f aca="false">IF(Underwriting!$A15="","",ROUND(N$2*$C16,-3))</f>
        <v/>
      </c>
      <c r="O16" s="31" t="str">
        <f aca="false">IF(Underwriting!$A15="","",Underwriting!$T15-((N16)*(1+BuyerPremium)+IF(N(Deals!S15)=0,0,MIN(N(Deals!S15),MAX(0,N(Deals!S15)+SheriffCostsFromBid-(N16)*(1-RTTPurchase))))))</f>
        <v/>
      </c>
      <c r="P16" s="32" t="str">
        <f aca="false">IF(Underwriting!$A15="","",IFERROR(O16/(((N16)*(1+BuyerPremium)+IF(N(Deals!S15)=0,0,MIN(N(Deals!S15),MAX(0,N(Deals!S15)+SheriffCostsFromBid-(N16)*(1-RTTPurchase)))))+Underwriting!$S15)/(Underwriting!$M15/12),0))</f>
        <v/>
      </c>
      <c r="Q16" s="32" t="str">
        <f aca="false">IF(Underwriting!$A15="","",IFERROR(Underwriting!$Z15/(((N16)*(1+BuyerPremium)+IF(N(Deals!S15)=0,0,MIN(N(Deals!S15),MAX(0,N(Deals!S15)+SheriffCostsFromBid-(N16)*(1-RTTPurchase)))))+Underwriting!$AA15),0))</f>
        <v/>
      </c>
      <c r="R16" s="31" t="str">
        <f aca="false">IF(Underwriting!$A15="","",ROUND(R$2*$C16,-3))</f>
        <v/>
      </c>
      <c r="S16" s="31" t="str">
        <f aca="false">IF(Underwriting!$A15="","",Underwriting!$T15-((R16)*(1+BuyerPremium)+IF(N(Deals!S15)=0,0,MIN(N(Deals!S15),MAX(0,N(Deals!S15)+SheriffCostsFromBid-(R16)*(1-RTTPurchase))))))</f>
        <v/>
      </c>
      <c r="T16" s="32" t="str">
        <f aca="false">IF(Underwriting!$A15="","",IFERROR(S16/(((R16)*(1+BuyerPremium)+IF(N(Deals!S15)=0,0,MIN(N(Deals!S15),MAX(0,N(Deals!S15)+SheriffCostsFromBid-(R16)*(1-RTTPurchase)))))+Underwriting!$S15)/(Underwriting!$M15/12),0))</f>
        <v/>
      </c>
      <c r="U16" s="32" t="str">
        <f aca="false">IF(Underwriting!$A15="","",IFERROR(Underwriting!$Z15/(((R16)*(1+BuyerPremium)+IF(N(Deals!S15)=0,0,MIN(N(Deals!S15),MAX(0,N(Deals!S15)+SheriffCostsFromBid-(R16)*(1-RTTPurchase)))))+Underwriting!$AA15),0))</f>
        <v/>
      </c>
      <c r="V16" s="31" t="str">
        <f aca="false">IF(Underwriting!$A15="","",ROUND(V$2*$C16,-3))</f>
        <v/>
      </c>
      <c r="W16" s="31" t="str">
        <f aca="false">IF(Underwriting!$A15="","",Underwriting!$T15-((V16)*(1+BuyerPremium)+IF(N(Deals!S15)=0,0,MIN(N(Deals!S15),MAX(0,N(Deals!S15)+SheriffCostsFromBid-(V16)*(1-RTTPurchase))))))</f>
        <v/>
      </c>
      <c r="X16" s="32" t="str">
        <f aca="false">IF(Underwriting!$A15="","",IFERROR(W16/(((V16)*(1+BuyerPremium)+IF(N(Deals!S15)=0,0,MIN(N(Deals!S15),MAX(0,N(Deals!S15)+SheriffCostsFromBid-(V16)*(1-RTTPurchase)))))+Underwriting!$S15)/(Underwriting!$M15/12),0))</f>
        <v/>
      </c>
      <c r="Y16" s="32" t="str">
        <f aca="false">IF(Underwriting!$A15="","",IFERROR(Underwriting!$Z15/(((V16)*(1+BuyerPremium)+IF(N(Deals!S15)=0,0,MIN(N(Deals!S15),MAX(0,N(Deals!S15)+SheriffCostsFromBid-(V16)*(1-RTTPurchase)))))+Underwriting!$AA15),0))</f>
        <v/>
      </c>
      <c r="Z16" s="31" t="str">
        <f aca="false">IF(Underwriting!$A15="","",ROUND(Z$2*$C16,-3))</f>
        <v/>
      </c>
      <c r="AA16" s="31" t="str">
        <f aca="false">IF(Underwriting!$A15="","",Underwriting!$T15-((Z16)*(1+BuyerPremium)+IF(N(Deals!S15)=0,0,MIN(N(Deals!S15),MAX(0,N(Deals!S15)+SheriffCostsFromBid-(Z16)*(1-RTTPurchase))))))</f>
        <v/>
      </c>
      <c r="AB16" s="32" t="str">
        <f aca="false">IF(Underwriting!$A15="","",IFERROR(AA16/(((Z16)*(1+BuyerPremium)+IF(N(Deals!S15)=0,0,MIN(N(Deals!S15),MAX(0,N(Deals!S15)+SheriffCostsFromBid-(Z16)*(1-RTTPurchase)))))+Underwriting!$S15)/(Underwriting!$M15/12),0))</f>
        <v/>
      </c>
      <c r="AC16" s="32" t="str">
        <f aca="false">IF(Underwriting!$A15="","",IFERROR(Underwriting!$Z15/(((Z16)*(1+BuyerPremium)+IF(N(Deals!S15)=0,0,MIN(N(Deals!S15),MAX(0,N(Deals!S15)+SheriffCostsFromBid-(Z16)*(1-RTTPurchase)))))+Underwriting!$AA15),0))</f>
        <v/>
      </c>
      <c r="AD16" s="31" t="str">
        <f aca="false">IF(Underwriting!$A15="","",ROUND(AD$2*$C16,-3))</f>
        <v/>
      </c>
      <c r="AE16" s="31" t="str">
        <f aca="false">IF(Underwriting!$A15="","",Underwriting!$T15-((AD16)*(1+BuyerPremium)+IF(N(Deals!S15)=0,0,MIN(N(Deals!S15),MAX(0,N(Deals!S15)+SheriffCostsFromBid-(AD16)*(1-RTTPurchase))))))</f>
        <v/>
      </c>
      <c r="AF16" s="32" t="str">
        <f aca="false">IF(Underwriting!$A15="","",IFERROR(AE16/(((AD16)*(1+BuyerPremium)+IF(N(Deals!S15)=0,0,MIN(N(Deals!S15),MAX(0,N(Deals!S15)+SheriffCostsFromBid-(AD16)*(1-RTTPurchase)))))+Underwriting!$S15)/(Underwriting!$M15/12),0))</f>
        <v/>
      </c>
      <c r="AG16" s="32" t="str">
        <f aca="false">IF(Underwriting!$A15="","",IFERROR(Underwriting!$Z15/(((AD16)*(1+BuyerPremium)+IF(N(Deals!S15)=0,0,MIN(N(Deals!S15),MAX(0,N(Deals!S15)+SheriffCostsFromBid-(AD16)*(1-RTTPurchase)))))+Underwriting!$AA15),0))</f>
        <v/>
      </c>
      <c r="AH16" s="31" t="str">
        <f aca="false">IF(Underwriting!$A15="","",$E16)</f>
        <v/>
      </c>
      <c r="AI16" s="31" t="str">
        <f aca="false">IF(Underwriting!$A15="","",Underwriting!$T15-((AH16)*(1+BuyerPremium)+IF(N(Deals!S15)=0,0,MIN(N(Deals!S15),MAX(0,N(Deals!S15)+SheriffCostsFromBid-(AH16)*(1-RTTPurchase))))))</f>
        <v/>
      </c>
      <c r="AJ16" s="32" t="str">
        <f aca="false">IF(Underwriting!$A15="","",IFERROR(AI16/(((AH16)*(1+BuyerPremium)+IF(N(Deals!S15)=0,0,MIN(N(Deals!S15),MAX(0,N(Deals!S15)+SheriffCostsFromBid-(AH16)*(1-RTTPurchase)))))+Underwriting!$S15)/(Underwriting!$M15/12),0))</f>
        <v/>
      </c>
      <c r="AK16" s="32" t="str">
        <f aca="false">IF(Underwriting!$A15="","",IFERROR(Underwriting!$Z15/(((AH16)*(1+BuyerPremium)+IF(N(Deals!S15)=0,0,MIN(N(Deals!S15),MAX(0,N(Deals!S15)+SheriffCostsFromBid-(AH16)*(1-RTTPurchase)))))+Underwriting!$AA15),0))</f>
        <v/>
      </c>
    </row>
    <row r="17" customFormat="false" ht="15" hidden="false" customHeight="true" outlineLevel="0" collapsed="false">
      <c r="A17" s="1" t="str">
        <f aca="false">Underwriting!$A16</f>
        <v/>
      </c>
      <c r="B17" s="1" t="str">
        <f aca="false">Underwriting!$B16</f>
        <v/>
      </c>
      <c r="C17" s="31" t="str">
        <f aca="false">IF(Underwriting!$A16="","",N(Deals!M16))</f>
        <v/>
      </c>
      <c r="D17" s="31" t="str">
        <f aca="false">IF(Underwriting!$A16="","",N(Deals!D16))</f>
        <v/>
      </c>
      <c r="E17" s="31" t="str">
        <f aca="false">IF(Underwriting!$A16="","",Underwriting!$D16)</f>
        <v/>
      </c>
      <c r="F17" s="31" t="str">
        <f aca="false">IF(Underwriting!$A16="","",$D17)</f>
        <v/>
      </c>
      <c r="G17" s="31" t="str">
        <f aca="false">IF(Underwriting!$A16="","",Underwriting!$T16-((F17)*(1+BuyerPremium)+IF(N(Deals!S16)=0,0,MIN(N(Deals!S16),MAX(0,N(Deals!S16)+SheriffCostsFromBid-(F17)*(1-RTTPurchase))))))</f>
        <v/>
      </c>
      <c r="H17" s="32" t="str">
        <f aca="false">IF(Underwriting!$A16="","",IFERROR(G17/(((F17)*(1+BuyerPremium)+IF(N(Deals!S16)=0,0,MIN(N(Deals!S16),MAX(0,N(Deals!S16)+SheriffCostsFromBid-(F17)*(1-RTTPurchase)))))+Underwriting!$S16)/(Underwriting!$M16/12),0))</f>
        <v/>
      </c>
      <c r="I17" s="32" t="str">
        <f aca="false">IF(Underwriting!$A16="","",IFERROR(Underwriting!$Z16/(((F17)*(1+BuyerPremium)+IF(N(Deals!S16)=0,0,MIN(N(Deals!S16),MAX(0,N(Deals!S16)+SheriffCostsFromBid-(F17)*(1-RTTPurchase)))))+Underwriting!$AA16),0))</f>
        <v/>
      </c>
      <c r="J17" s="31" t="str">
        <f aca="false">IF(Underwriting!$A16="","",ROUND(J$2*$C17,-3))</f>
        <v/>
      </c>
      <c r="K17" s="31" t="str">
        <f aca="false">IF(Underwriting!$A16="","",Underwriting!$T16-((J17)*(1+BuyerPremium)+IF(N(Deals!S16)=0,0,MIN(N(Deals!S16),MAX(0,N(Deals!S16)+SheriffCostsFromBid-(J17)*(1-RTTPurchase))))))</f>
        <v/>
      </c>
      <c r="L17" s="32" t="str">
        <f aca="false">IF(Underwriting!$A16="","",IFERROR(K17/(((J17)*(1+BuyerPremium)+IF(N(Deals!S16)=0,0,MIN(N(Deals!S16),MAX(0,N(Deals!S16)+SheriffCostsFromBid-(J17)*(1-RTTPurchase)))))+Underwriting!$S16)/(Underwriting!$M16/12),0))</f>
        <v/>
      </c>
      <c r="M17" s="32" t="str">
        <f aca="false">IF(Underwriting!$A16="","",IFERROR(Underwriting!$Z16/(((J17)*(1+BuyerPremium)+IF(N(Deals!S16)=0,0,MIN(N(Deals!S16),MAX(0,N(Deals!S16)+SheriffCostsFromBid-(J17)*(1-RTTPurchase)))))+Underwriting!$AA16),0))</f>
        <v/>
      </c>
      <c r="N17" s="31" t="str">
        <f aca="false">IF(Underwriting!$A16="","",ROUND(N$2*$C17,-3))</f>
        <v/>
      </c>
      <c r="O17" s="31" t="str">
        <f aca="false">IF(Underwriting!$A16="","",Underwriting!$T16-((N17)*(1+BuyerPremium)+IF(N(Deals!S16)=0,0,MIN(N(Deals!S16),MAX(0,N(Deals!S16)+SheriffCostsFromBid-(N17)*(1-RTTPurchase))))))</f>
        <v/>
      </c>
      <c r="P17" s="32" t="str">
        <f aca="false">IF(Underwriting!$A16="","",IFERROR(O17/(((N17)*(1+BuyerPremium)+IF(N(Deals!S16)=0,0,MIN(N(Deals!S16),MAX(0,N(Deals!S16)+SheriffCostsFromBid-(N17)*(1-RTTPurchase)))))+Underwriting!$S16)/(Underwriting!$M16/12),0))</f>
        <v/>
      </c>
      <c r="Q17" s="32" t="str">
        <f aca="false">IF(Underwriting!$A16="","",IFERROR(Underwriting!$Z16/(((N17)*(1+BuyerPremium)+IF(N(Deals!S16)=0,0,MIN(N(Deals!S16),MAX(0,N(Deals!S16)+SheriffCostsFromBid-(N17)*(1-RTTPurchase)))))+Underwriting!$AA16),0))</f>
        <v/>
      </c>
      <c r="R17" s="31" t="str">
        <f aca="false">IF(Underwriting!$A16="","",ROUND(R$2*$C17,-3))</f>
        <v/>
      </c>
      <c r="S17" s="31" t="str">
        <f aca="false">IF(Underwriting!$A16="","",Underwriting!$T16-((R17)*(1+BuyerPremium)+IF(N(Deals!S16)=0,0,MIN(N(Deals!S16),MAX(0,N(Deals!S16)+SheriffCostsFromBid-(R17)*(1-RTTPurchase))))))</f>
        <v/>
      </c>
      <c r="T17" s="32" t="str">
        <f aca="false">IF(Underwriting!$A16="","",IFERROR(S17/(((R17)*(1+BuyerPremium)+IF(N(Deals!S16)=0,0,MIN(N(Deals!S16),MAX(0,N(Deals!S16)+SheriffCostsFromBid-(R17)*(1-RTTPurchase)))))+Underwriting!$S16)/(Underwriting!$M16/12),0))</f>
        <v/>
      </c>
      <c r="U17" s="32" t="str">
        <f aca="false">IF(Underwriting!$A16="","",IFERROR(Underwriting!$Z16/(((R17)*(1+BuyerPremium)+IF(N(Deals!S16)=0,0,MIN(N(Deals!S16),MAX(0,N(Deals!S16)+SheriffCostsFromBid-(R17)*(1-RTTPurchase)))))+Underwriting!$AA16),0))</f>
        <v/>
      </c>
      <c r="V17" s="31" t="str">
        <f aca="false">IF(Underwriting!$A16="","",ROUND(V$2*$C17,-3))</f>
        <v/>
      </c>
      <c r="W17" s="31" t="str">
        <f aca="false">IF(Underwriting!$A16="","",Underwriting!$T16-((V17)*(1+BuyerPremium)+IF(N(Deals!S16)=0,0,MIN(N(Deals!S16),MAX(0,N(Deals!S16)+SheriffCostsFromBid-(V17)*(1-RTTPurchase))))))</f>
        <v/>
      </c>
      <c r="X17" s="32" t="str">
        <f aca="false">IF(Underwriting!$A16="","",IFERROR(W17/(((V17)*(1+BuyerPremium)+IF(N(Deals!S16)=0,0,MIN(N(Deals!S16),MAX(0,N(Deals!S16)+SheriffCostsFromBid-(V17)*(1-RTTPurchase)))))+Underwriting!$S16)/(Underwriting!$M16/12),0))</f>
        <v/>
      </c>
      <c r="Y17" s="32" t="str">
        <f aca="false">IF(Underwriting!$A16="","",IFERROR(Underwriting!$Z16/(((V17)*(1+BuyerPremium)+IF(N(Deals!S16)=0,0,MIN(N(Deals!S16),MAX(0,N(Deals!S16)+SheriffCostsFromBid-(V17)*(1-RTTPurchase)))))+Underwriting!$AA16),0))</f>
        <v/>
      </c>
      <c r="Z17" s="31" t="str">
        <f aca="false">IF(Underwriting!$A16="","",ROUND(Z$2*$C17,-3))</f>
        <v/>
      </c>
      <c r="AA17" s="31" t="str">
        <f aca="false">IF(Underwriting!$A16="","",Underwriting!$T16-((Z17)*(1+BuyerPremium)+IF(N(Deals!S16)=0,0,MIN(N(Deals!S16),MAX(0,N(Deals!S16)+SheriffCostsFromBid-(Z17)*(1-RTTPurchase))))))</f>
        <v/>
      </c>
      <c r="AB17" s="32" t="str">
        <f aca="false">IF(Underwriting!$A16="","",IFERROR(AA17/(((Z17)*(1+BuyerPremium)+IF(N(Deals!S16)=0,0,MIN(N(Deals!S16),MAX(0,N(Deals!S16)+SheriffCostsFromBid-(Z17)*(1-RTTPurchase)))))+Underwriting!$S16)/(Underwriting!$M16/12),0))</f>
        <v/>
      </c>
      <c r="AC17" s="32" t="str">
        <f aca="false">IF(Underwriting!$A16="","",IFERROR(Underwriting!$Z16/(((Z17)*(1+BuyerPremium)+IF(N(Deals!S16)=0,0,MIN(N(Deals!S16),MAX(0,N(Deals!S16)+SheriffCostsFromBid-(Z17)*(1-RTTPurchase)))))+Underwriting!$AA16),0))</f>
        <v/>
      </c>
      <c r="AD17" s="31" t="str">
        <f aca="false">IF(Underwriting!$A16="","",ROUND(AD$2*$C17,-3))</f>
        <v/>
      </c>
      <c r="AE17" s="31" t="str">
        <f aca="false">IF(Underwriting!$A16="","",Underwriting!$T16-((AD17)*(1+BuyerPremium)+IF(N(Deals!S16)=0,0,MIN(N(Deals!S16),MAX(0,N(Deals!S16)+SheriffCostsFromBid-(AD17)*(1-RTTPurchase))))))</f>
        <v/>
      </c>
      <c r="AF17" s="32" t="str">
        <f aca="false">IF(Underwriting!$A16="","",IFERROR(AE17/(((AD17)*(1+BuyerPremium)+IF(N(Deals!S16)=0,0,MIN(N(Deals!S16),MAX(0,N(Deals!S16)+SheriffCostsFromBid-(AD17)*(1-RTTPurchase)))))+Underwriting!$S16)/(Underwriting!$M16/12),0))</f>
        <v/>
      </c>
      <c r="AG17" s="32" t="str">
        <f aca="false">IF(Underwriting!$A16="","",IFERROR(Underwriting!$Z16/(((AD17)*(1+BuyerPremium)+IF(N(Deals!S16)=0,0,MIN(N(Deals!S16),MAX(0,N(Deals!S16)+SheriffCostsFromBid-(AD17)*(1-RTTPurchase)))))+Underwriting!$AA16),0))</f>
        <v/>
      </c>
      <c r="AH17" s="31" t="str">
        <f aca="false">IF(Underwriting!$A16="","",$E17)</f>
        <v/>
      </c>
      <c r="AI17" s="31" t="str">
        <f aca="false">IF(Underwriting!$A16="","",Underwriting!$T16-((AH17)*(1+BuyerPremium)+IF(N(Deals!S16)=0,0,MIN(N(Deals!S16),MAX(0,N(Deals!S16)+SheriffCostsFromBid-(AH17)*(1-RTTPurchase))))))</f>
        <v/>
      </c>
      <c r="AJ17" s="32" t="str">
        <f aca="false">IF(Underwriting!$A16="","",IFERROR(AI17/(((AH17)*(1+BuyerPremium)+IF(N(Deals!S16)=0,0,MIN(N(Deals!S16),MAX(0,N(Deals!S16)+SheriffCostsFromBid-(AH17)*(1-RTTPurchase)))))+Underwriting!$S16)/(Underwriting!$M16/12),0))</f>
        <v/>
      </c>
      <c r="AK17" s="32" t="str">
        <f aca="false">IF(Underwriting!$A16="","",IFERROR(Underwriting!$Z16/(((AH17)*(1+BuyerPremium)+IF(N(Deals!S16)=0,0,MIN(N(Deals!S16),MAX(0,N(Deals!S16)+SheriffCostsFromBid-(AH17)*(1-RTTPurchase)))))+Underwriting!$AA16),0))</f>
        <v/>
      </c>
    </row>
    <row r="18" customFormat="false" ht="15" hidden="false" customHeight="true" outlineLevel="0" collapsed="false">
      <c r="A18" s="1" t="str">
        <f aca="false">Underwriting!$A17</f>
        <v/>
      </c>
      <c r="B18" s="1" t="str">
        <f aca="false">Underwriting!$B17</f>
        <v/>
      </c>
      <c r="C18" s="31" t="str">
        <f aca="false">IF(Underwriting!$A17="","",N(Deals!M17))</f>
        <v/>
      </c>
      <c r="D18" s="31" t="str">
        <f aca="false">IF(Underwriting!$A17="","",N(Deals!D17))</f>
        <v/>
      </c>
      <c r="E18" s="31" t="str">
        <f aca="false">IF(Underwriting!$A17="","",Underwriting!$D17)</f>
        <v/>
      </c>
      <c r="F18" s="31" t="str">
        <f aca="false">IF(Underwriting!$A17="","",$D18)</f>
        <v/>
      </c>
      <c r="G18" s="31" t="str">
        <f aca="false">IF(Underwriting!$A17="","",Underwriting!$T17-((F18)*(1+BuyerPremium)+IF(N(Deals!S17)=0,0,MIN(N(Deals!S17),MAX(0,N(Deals!S17)+SheriffCostsFromBid-(F18)*(1-RTTPurchase))))))</f>
        <v/>
      </c>
      <c r="H18" s="32" t="str">
        <f aca="false">IF(Underwriting!$A17="","",IFERROR(G18/(((F18)*(1+BuyerPremium)+IF(N(Deals!S17)=0,0,MIN(N(Deals!S17),MAX(0,N(Deals!S17)+SheriffCostsFromBid-(F18)*(1-RTTPurchase)))))+Underwriting!$S17)/(Underwriting!$M17/12),0))</f>
        <v/>
      </c>
      <c r="I18" s="32" t="str">
        <f aca="false">IF(Underwriting!$A17="","",IFERROR(Underwriting!$Z17/(((F18)*(1+BuyerPremium)+IF(N(Deals!S17)=0,0,MIN(N(Deals!S17),MAX(0,N(Deals!S17)+SheriffCostsFromBid-(F18)*(1-RTTPurchase)))))+Underwriting!$AA17),0))</f>
        <v/>
      </c>
      <c r="J18" s="31" t="str">
        <f aca="false">IF(Underwriting!$A17="","",ROUND(J$2*$C18,-3))</f>
        <v/>
      </c>
      <c r="K18" s="31" t="str">
        <f aca="false">IF(Underwriting!$A17="","",Underwriting!$T17-((J18)*(1+BuyerPremium)+IF(N(Deals!S17)=0,0,MIN(N(Deals!S17),MAX(0,N(Deals!S17)+SheriffCostsFromBid-(J18)*(1-RTTPurchase))))))</f>
        <v/>
      </c>
      <c r="L18" s="32" t="str">
        <f aca="false">IF(Underwriting!$A17="","",IFERROR(K18/(((J18)*(1+BuyerPremium)+IF(N(Deals!S17)=0,0,MIN(N(Deals!S17),MAX(0,N(Deals!S17)+SheriffCostsFromBid-(J18)*(1-RTTPurchase)))))+Underwriting!$S17)/(Underwriting!$M17/12),0))</f>
        <v/>
      </c>
      <c r="M18" s="32" t="str">
        <f aca="false">IF(Underwriting!$A17="","",IFERROR(Underwriting!$Z17/(((J18)*(1+BuyerPremium)+IF(N(Deals!S17)=0,0,MIN(N(Deals!S17),MAX(0,N(Deals!S17)+SheriffCostsFromBid-(J18)*(1-RTTPurchase)))))+Underwriting!$AA17),0))</f>
        <v/>
      </c>
      <c r="N18" s="31" t="str">
        <f aca="false">IF(Underwriting!$A17="","",ROUND(N$2*$C18,-3))</f>
        <v/>
      </c>
      <c r="O18" s="31" t="str">
        <f aca="false">IF(Underwriting!$A17="","",Underwriting!$T17-((N18)*(1+BuyerPremium)+IF(N(Deals!S17)=0,0,MIN(N(Deals!S17),MAX(0,N(Deals!S17)+SheriffCostsFromBid-(N18)*(1-RTTPurchase))))))</f>
        <v/>
      </c>
      <c r="P18" s="32" t="str">
        <f aca="false">IF(Underwriting!$A17="","",IFERROR(O18/(((N18)*(1+BuyerPremium)+IF(N(Deals!S17)=0,0,MIN(N(Deals!S17),MAX(0,N(Deals!S17)+SheriffCostsFromBid-(N18)*(1-RTTPurchase)))))+Underwriting!$S17)/(Underwriting!$M17/12),0))</f>
        <v/>
      </c>
      <c r="Q18" s="32" t="str">
        <f aca="false">IF(Underwriting!$A17="","",IFERROR(Underwriting!$Z17/(((N18)*(1+BuyerPremium)+IF(N(Deals!S17)=0,0,MIN(N(Deals!S17),MAX(0,N(Deals!S17)+SheriffCostsFromBid-(N18)*(1-RTTPurchase)))))+Underwriting!$AA17),0))</f>
        <v/>
      </c>
      <c r="R18" s="31" t="str">
        <f aca="false">IF(Underwriting!$A17="","",ROUND(R$2*$C18,-3))</f>
        <v/>
      </c>
      <c r="S18" s="31" t="str">
        <f aca="false">IF(Underwriting!$A17="","",Underwriting!$T17-((R18)*(1+BuyerPremium)+IF(N(Deals!S17)=0,0,MIN(N(Deals!S17),MAX(0,N(Deals!S17)+SheriffCostsFromBid-(R18)*(1-RTTPurchase))))))</f>
        <v/>
      </c>
      <c r="T18" s="32" t="str">
        <f aca="false">IF(Underwriting!$A17="","",IFERROR(S18/(((R18)*(1+BuyerPremium)+IF(N(Deals!S17)=0,0,MIN(N(Deals!S17),MAX(0,N(Deals!S17)+SheriffCostsFromBid-(R18)*(1-RTTPurchase)))))+Underwriting!$S17)/(Underwriting!$M17/12),0))</f>
        <v/>
      </c>
      <c r="U18" s="32" t="str">
        <f aca="false">IF(Underwriting!$A17="","",IFERROR(Underwriting!$Z17/(((R18)*(1+BuyerPremium)+IF(N(Deals!S17)=0,0,MIN(N(Deals!S17),MAX(0,N(Deals!S17)+SheriffCostsFromBid-(R18)*(1-RTTPurchase)))))+Underwriting!$AA17),0))</f>
        <v/>
      </c>
      <c r="V18" s="31" t="str">
        <f aca="false">IF(Underwriting!$A17="","",ROUND(V$2*$C18,-3))</f>
        <v/>
      </c>
      <c r="W18" s="31" t="str">
        <f aca="false">IF(Underwriting!$A17="","",Underwriting!$T17-((V18)*(1+BuyerPremium)+IF(N(Deals!S17)=0,0,MIN(N(Deals!S17),MAX(0,N(Deals!S17)+SheriffCostsFromBid-(V18)*(1-RTTPurchase))))))</f>
        <v/>
      </c>
      <c r="X18" s="32" t="str">
        <f aca="false">IF(Underwriting!$A17="","",IFERROR(W18/(((V18)*(1+BuyerPremium)+IF(N(Deals!S17)=0,0,MIN(N(Deals!S17),MAX(0,N(Deals!S17)+SheriffCostsFromBid-(V18)*(1-RTTPurchase)))))+Underwriting!$S17)/(Underwriting!$M17/12),0))</f>
        <v/>
      </c>
      <c r="Y18" s="32" t="str">
        <f aca="false">IF(Underwriting!$A17="","",IFERROR(Underwriting!$Z17/(((V18)*(1+BuyerPremium)+IF(N(Deals!S17)=0,0,MIN(N(Deals!S17),MAX(0,N(Deals!S17)+SheriffCostsFromBid-(V18)*(1-RTTPurchase)))))+Underwriting!$AA17),0))</f>
        <v/>
      </c>
      <c r="Z18" s="31" t="str">
        <f aca="false">IF(Underwriting!$A17="","",ROUND(Z$2*$C18,-3))</f>
        <v/>
      </c>
      <c r="AA18" s="31" t="str">
        <f aca="false">IF(Underwriting!$A17="","",Underwriting!$T17-((Z18)*(1+BuyerPremium)+IF(N(Deals!S17)=0,0,MIN(N(Deals!S17),MAX(0,N(Deals!S17)+SheriffCostsFromBid-(Z18)*(1-RTTPurchase))))))</f>
        <v/>
      </c>
      <c r="AB18" s="32" t="str">
        <f aca="false">IF(Underwriting!$A17="","",IFERROR(AA18/(((Z18)*(1+BuyerPremium)+IF(N(Deals!S17)=0,0,MIN(N(Deals!S17),MAX(0,N(Deals!S17)+SheriffCostsFromBid-(Z18)*(1-RTTPurchase)))))+Underwriting!$S17)/(Underwriting!$M17/12),0))</f>
        <v/>
      </c>
      <c r="AC18" s="32" t="str">
        <f aca="false">IF(Underwriting!$A17="","",IFERROR(Underwriting!$Z17/(((Z18)*(1+BuyerPremium)+IF(N(Deals!S17)=0,0,MIN(N(Deals!S17),MAX(0,N(Deals!S17)+SheriffCostsFromBid-(Z18)*(1-RTTPurchase)))))+Underwriting!$AA17),0))</f>
        <v/>
      </c>
      <c r="AD18" s="31" t="str">
        <f aca="false">IF(Underwriting!$A17="","",ROUND(AD$2*$C18,-3))</f>
        <v/>
      </c>
      <c r="AE18" s="31" t="str">
        <f aca="false">IF(Underwriting!$A17="","",Underwriting!$T17-((AD18)*(1+BuyerPremium)+IF(N(Deals!S17)=0,0,MIN(N(Deals!S17),MAX(0,N(Deals!S17)+SheriffCostsFromBid-(AD18)*(1-RTTPurchase))))))</f>
        <v/>
      </c>
      <c r="AF18" s="32" t="str">
        <f aca="false">IF(Underwriting!$A17="","",IFERROR(AE18/(((AD18)*(1+BuyerPremium)+IF(N(Deals!S17)=0,0,MIN(N(Deals!S17),MAX(0,N(Deals!S17)+SheriffCostsFromBid-(AD18)*(1-RTTPurchase)))))+Underwriting!$S17)/(Underwriting!$M17/12),0))</f>
        <v/>
      </c>
      <c r="AG18" s="32" t="str">
        <f aca="false">IF(Underwriting!$A17="","",IFERROR(Underwriting!$Z17/(((AD18)*(1+BuyerPremium)+IF(N(Deals!S17)=0,0,MIN(N(Deals!S17),MAX(0,N(Deals!S17)+SheriffCostsFromBid-(AD18)*(1-RTTPurchase)))))+Underwriting!$AA17),0))</f>
        <v/>
      </c>
      <c r="AH18" s="31" t="str">
        <f aca="false">IF(Underwriting!$A17="","",$E18)</f>
        <v/>
      </c>
      <c r="AI18" s="31" t="str">
        <f aca="false">IF(Underwriting!$A17="","",Underwriting!$T17-((AH18)*(1+BuyerPremium)+IF(N(Deals!S17)=0,0,MIN(N(Deals!S17),MAX(0,N(Deals!S17)+SheriffCostsFromBid-(AH18)*(1-RTTPurchase))))))</f>
        <v/>
      </c>
      <c r="AJ18" s="32" t="str">
        <f aca="false">IF(Underwriting!$A17="","",IFERROR(AI18/(((AH18)*(1+BuyerPremium)+IF(N(Deals!S17)=0,0,MIN(N(Deals!S17),MAX(0,N(Deals!S17)+SheriffCostsFromBid-(AH18)*(1-RTTPurchase)))))+Underwriting!$S17)/(Underwriting!$M17/12),0))</f>
        <v/>
      </c>
      <c r="AK18" s="32" t="str">
        <f aca="false">IF(Underwriting!$A17="","",IFERROR(Underwriting!$Z17/(((AH18)*(1+BuyerPremium)+IF(N(Deals!S17)=0,0,MIN(N(Deals!S17),MAX(0,N(Deals!S17)+SheriffCostsFromBid-(AH18)*(1-RTTPurchase)))))+Underwriting!$AA17),0))</f>
        <v/>
      </c>
    </row>
    <row r="19" customFormat="false" ht="15" hidden="false" customHeight="true" outlineLevel="0" collapsed="false">
      <c r="A19" s="1" t="str">
        <f aca="false">Underwriting!$A18</f>
        <v/>
      </c>
      <c r="B19" s="1" t="str">
        <f aca="false">Underwriting!$B18</f>
        <v/>
      </c>
      <c r="C19" s="31" t="str">
        <f aca="false">IF(Underwriting!$A18="","",N(Deals!M18))</f>
        <v/>
      </c>
      <c r="D19" s="31" t="str">
        <f aca="false">IF(Underwriting!$A18="","",N(Deals!D18))</f>
        <v/>
      </c>
      <c r="E19" s="31" t="str">
        <f aca="false">IF(Underwriting!$A18="","",Underwriting!$D18)</f>
        <v/>
      </c>
      <c r="F19" s="31" t="str">
        <f aca="false">IF(Underwriting!$A18="","",$D19)</f>
        <v/>
      </c>
      <c r="G19" s="31" t="str">
        <f aca="false">IF(Underwriting!$A18="","",Underwriting!$T18-((F19)*(1+BuyerPremium)+IF(N(Deals!S18)=0,0,MIN(N(Deals!S18),MAX(0,N(Deals!S18)+SheriffCostsFromBid-(F19)*(1-RTTPurchase))))))</f>
        <v/>
      </c>
      <c r="H19" s="32" t="str">
        <f aca="false">IF(Underwriting!$A18="","",IFERROR(G19/(((F19)*(1+BuyerPremium)+IF(N(Deals!S18)=0,0,MIN(N(Deals!S18),MAX(0,N(Deals!S18)+SheriffCostsFromBid-(F19)*(1-RTTPurchase)))))+Underwriting!$S18)/(Underwriting!$M18/12),0))</f>
        <v/>
      </c>
      <c r="I19" s="32" t="str">
        <f aca="false">IF(Underwriting!$A18="","",IFERROR(Underwriting!$Z18/(((F19)*(1+BuyerPremium)+IF(N(Deals!S18)=0,0,MIN(N(Deals!S18),MAX(0,N(Deals!S18)+SheriffCostsFromBid-(F19)*(1-RTTPurchase)))))+Underwriting!$AA18),0))</f>
        <v/>
      </c>
      <c r="J19" s="31" t="str">
        <f aca="false">IF(Underwriting!$A18="","",ROUND(J$2*$C19,-3))</f>
        <v/>
      </c>
      <c r="K19" s="31" t="str">
        <f aca="false">IF(Underwriting!$A18="","",Underwriting!$T18-((J19)*(1+BuyerPremium)+IF(N(Deals!S18)=0,0,MIN(N(Deals!S18),MAX(0,N(Deals!S18)+SheriffCostsFromBid-(J19)*(1-RTTPurchase))))))</f>
        <v/>
      </c>
      <c r="L19" s="32" t="str">
        <f aca="false">IF(Underwriting!$A18="","",IFERROR(K19/(((J19)*(1+BuyerPremium)+IF(N(Deals!S18)=0,0,MIN(N(Deals!S18),MAX(0,N(Deals!S18)+SheriffCostsFromBid-(J19)*(1-RTTPurchase)))))+Underwriting!$S18)/(Underwriting!$M18/12),0))</f>
        <v/>
      </c>
      <c r="M19" s="32" t="str">
        <f aca="false">IF(Underwriting!$A18="","",IFERROR(Underwriting!$Z18/(((J19)*(1+BuyerPremium)+IF(N(Deals!S18)=0,0,MIN(N(Deals!S18),MAX(0,N(Deals!S18)+SheriffCostsFromBid-(J19)*(1-RTTPurchase)))))+Underwriting!$AA18),0))</f>
        <v/>
      </c>
      <c r="N19" s="31" t="str">
        <f aca="false">IF(Underwriting!$A18="","",ROUND(N$2*$C19,-3))</f>
        <v/>
      </c>
      <c r="O19" s="31" t="str">
        <f aca="false">IF(Underwriting!$A18="","",Underwriting!$T18-((N19)*(1+BuyerPremium)+IF(N(Deals!S18)=0,0,MIN(N(Deals!S18),MAX(0,N(Deals!S18)+SheriffCostsFromBid-(N19)*(1-RTTPurchase))))))</f>
        <v/>
      </c>
      <c r="P19" s="32" t="str">
        <f aca="false">IF(Underwriting!$A18="","",IFERROR(O19/(((N19)*(1+BuyerPremium)+IF(N(Deals!S18)=0,0,MIN(N(Deals!S18),MAX(0,N(Deals!S18)+SheriffCostsFromBid-(N19)*(1-RTTPurchase)))))+Underwriting!$S18)/(Underwriting!$M18/12),0))</f>
        <v/>
      </c>
      <c r="Q19" s="32" t="str">
        <f aca="false">IF(Underwriting!$A18="","",IFERROR(Underwriting!$Z18/(((N19)*(1+BuyerPremium)+IF(N(Deals!S18)=0,0,MIN(N(Deals!S18),MAX(0,N(Deals!S18)+SheriffCostsFromBid-(N19)*(1-RTTPurchase)))))+Underwriting!$AA18),0))</f>
        <v/>
      </c>
      <c r="R19" s="31" t="str">
        <f aca="false">IF(Underwriting!$A18="","",ROUND(R$2*$C19,-3))</f>
        <v/>
      </c>
      <c r="S19" s="31" t="str">
        <f aca="false">IF(Underwriting!$A18="","",Underwriting!$T18-((R19)*(1+BuyerPremium)+IF(N(Deals!S18)=0,0,MIN(N(Deals!S18),MAX(0,N(Deals!S18)+SheriffCostsFromBid-(R19)*(1-RTTPurchase))))))</f>
        <v/>
      </c>
      <c r="T19" s="32" t="str">
        <f aca="false">IF(Underwriting!$A18="","",IFERROR(S19/(((R19)*(1+BuyerPremium)+IF(N(Deals!S18)=0,0,MIN(N(Deals!S18),MAX(0,N(Deals!S18)+SheriffCostsFromBid-(R19)*(1-RTTPurchase)))))+Underwriting!$S18)/(Underwriting!$M18/12),0))</f>
        <v/>
      </c>
      <c r="U19" s="32" t="str">
        <f aca="false">IF(Underwriting!$A18="","",IFERROR(Underwriting!$Z18/(((R19)*(1+BuyerPremium)+IF(N(Deals!S18)=0,0,MIN(N(Deals!S18),MAX(0,N(Deals!S18)+SheriffCostsFromBid-(R19)*(1-RTTPurchase)))))+Underwriting!$AA18),0))</f>
        <v/>
      </c>
      <c r="V19" s="31" t="str">
        <f aca="false">IF(Underwriting!$A18="","",ROUND(V$2*$C19,-3))</f>
        <v/>
      </c>
      <c r="W19" s="31" t="str">
        <f aca="false">IF(Underwriting!$A18="","",Underwriting!$T18-((V19)*(1+BuyerPremium)+IF(N(Deals!S18)=0,0,MIN(N(Deals!S18),MAX(0,N(Deals!S18)+SheriffCostsFromBid-(V19)*(1-RTTPurchase))))))</f>
        <v/>
      </c>
      <c r="X19" s="32" t="str">
        <f aca="false">IF(Underwriting!$A18="","",IFERROR(W19/(((V19)*(1+BuyerPremium)+IF(N(Deals!S18)=0,0,MIN(N(Deals!S18),MAX(0,N(Deals!S18)+SheriffCostsFromBid-(V19)*(1-RTTPurchase)))))+Underwriting!$S18)/(Underwriting!$M18/12),0))</f>
        <v/>
      </c>
      <c r="Y19" s="32" t="str">
        <f aca="false">IF(Underwriting!$A18="","",IFERROR(Underwriting!$Z18/(((V19)*(1+BuyerPremium)+IF(N(Deals!S18)=0,0,MIN(N(Deals!S18),MAX(0,N(Deals!S18)+SheriffCostsFromBid-(V19)*(1-RTTPurchase)))))+Underwriting!$AA18),0))</f>
        <v/>
      </c>
      <c r="Z19" s="31" t="str">
        <f aca="false">IF(Underwriting!$A18="","",ROUND(Z$2*$C19,-3))</f>
        <v/>
      </c>
      <c r="AA19" s="31" t="str">
        <f aca="false">IF(Underwriting!$A18="","",Underwriting!$T18-((Z19)*(1+BuyerPremium)+IF(N(Deals!S18)=0,0,MIN(N(Deals!S18),MAX(0,N(Deals!S18)+SheriffCostsFromBid-(Z19)*(1-RTTPurchase))))))</f>
        <v/>
      </c>
      <c r="AB19" s="32" t="str">
        <f aca="false">IF(Underwriting!$A18="","",IFERROR(AA19/(((Z19)*(1+BuyerPremium)+IF(N(Deals!S18)=0,0,MIN(N(Deals!S18),MAX(0,N(Deals!S18)+SheriffCostsFromBid-(Z19)*(1-RTTPurchase)))))+Underwriting!$S18)/(Underwriting!$M18/12),0))</f>
        <v/>
      </c>
      <c r="AC19" s="32" t="str">
        <f aca="false">IF(Underwriting!$A18="","",IFERROR(Underwriting!$Z18/(((Z19)*(1+BuyerPremium)+IF(N(Deals!S18)=0,0,MIN(N(Deals!S18),MAX(0,N(Deals!S18)+SheriffCostsFromBid-(Z19)*(1-RTTPurchase)))))+Underwriting!$AA18),0))</f>
        <v/>
      </c>
      <c r="AD19" s="31" t="str">
        <f aca="false">IF(Underwriting!$A18="","",ROUND(AD$2*$C19,-3))</f>
        <v/>
      </c>
      <c r="AE19" s="31" t="str">
        <f aca="false">IF(Underwriting!$A18="","",Underwriting!$T18-((AD19)*(1+BuyerPremium)+IF(N(Deals!S18)=0,0,MIN(N(Deals!S18),MAX(0,N(Deals!S18)+SheriffCostsFromBid-(AD19)*(1-RTTPurchase))))))</f>
        <v/>
      </c>
      <c r="AF19" s="32" t="str">
        <f aca="false">IF(Underwriting!$A18="","",IFERROR(AE19/(((AD19)*(1+BuyerPremium)+IF(N(Deals!S18)=0,0,MIN(N(Deals!S18),MAX(0,N(Deals!S18)+SheriffCostsFromBid-(AD19)*(1-RTTPurchase)))))+Underwriting!$S18)/(Underwriting!$M18/12),0))</f>
        <v/>
      </c>
      <c r="AG19" s="32" t="str">
        <f aca="false">IF(Underwriting!$A18="","",IFERROR(Underwriting!$Z18/(((AD19)*(1+BuyerPremium)+IF(N(Deals!S18)=0,0,MIN(N(Deals!S18),MAX(0,N(Deals!S18)+SheriffCostsFromBid-(AD19)*(1-RTTPurchase)))))+Underwriting!$AA18),0))</f>
        <v/>
      </c>
      <c r="AH19" s="31" t="str">
        <f aca="false">IF(Underwriting!$A18="","",$E19)</f>
        <v/>
      </c>
      <c r="AI19" s="31" t="str">
        <f aca="false">IF(Underwriting!$A18="","",Underwriting!$T18-((AH19)*(1+BuyerPremium)+IF(N(Deals!S18)=0,0,MIN(N(Deals!S18),MAX(0,N(Deals!S18)+SheriffCostsFromBid-(AH19)*(1-RTTPurchase))))))</f>
        <v/>
      </c>
      <c r="AJ19" s="32" t="str">
        <f aca="false">IF(Underwriting!$A18="","",IFERROR(AI19/(((AH19)*(1+BuyerPremium)+IF(N(Deals!S18)=0,0,MIN(N(Deals!S18),MAX(0,N(Deals!S18)+SheriffCostsFromBid-(AH19)*(1-RTTPurchase)))))+Underwriting!$S18)/(Underwriting!$M18/12),0))</f>
        <v/>
      </c>
      <c r="AK19" s="32" t="str">
        <f aca="false">IF(Underwriting!$A18="","",IFERROR(Underwriting!$Z18/(((AH19)*(1+BuyerPremium)+IF(N(Deals!S18)=0,0,MIN(N(Deals!S18),MAX(0,N(Deals!S18)+SheriffCostsFromBid-(AH19)*(1-RTTPurchase)))))+Underwriting!$AA18),0))</f>
        <v/>
      </c>
    </row>
    <row r="20" customFormat="false" ht="15" hidden="false" customHeight="true" outlineLevel="0" collapsed="false">
      <c r="A20" s="1" t="str">
        <f aca="false">Underwriting!$A19</f>
        <v/>
      </c>
      <c r="B20" s="1" t="str">
        <f aca="false">Underwriting!$B19</f>
        <v/>
      </c>
      <c r="C20" s="31" t="str">
        <f aca="false">IF(Underwriting!$A19="","",N(Deals!M19))</f>
        <v/>
      </c>
      <c r="D20" s="31" t="str">
        <f aca="false">IF(Underwriting!$A19="","",N(Deals!D19))</f>
        <v/>
      </c>
      <c r="E20" s="31" t="str">
        <f aca="false">IF(Underwriting!$A19="","",Underwriting!$D19)</f>
        <v/>
      </c>
      <c r="F20" s="31" t="str">
        <f aca="false">IF(Underwriting!$A19="","",$D20)</f>
        <v/>
      </c>
      <c r="G20" s="31" t="str">
        <f aca="false">IF(Underwriting!$A19="","",Underwriting!$T19-((F20)*(1+BuyerPremium)+IF(N(Deals!S19)=0,0,MIN(N(Deals!S19),MAX(0,N(Deals!S19)+SheriffCostsFromBid-(F20)*(1-RTTPurchase))))))</f>
        <v/>
      </c>
      <c r="H20" s="32" t="str">
        <f aca="false">IF(Underwriting!$A19="","",IFERROR(G20/(((F20)*(1+BuyerPremium)+IF(N(Deals!S19)=0,0,MIN(N(Deals!S19),MAX(0,N(Deals!S19)+SheriffCostsFromBid-(F20)*(1-RTTPurchase)))))+Underwriting!$S19)/(Underwriting!$M19/12),0))</f>
        <v/>
      </c>
      <c r="I20" s="32" t="str">
        <f aca="false">IF(Underwriting!$A19="","",IFERROR(Underwriting!$Z19/(((F20)*(1+BuyerPremium)+IF(N(Deals!S19)=0,0,MIN(N(Deals!S19),MAX(0,N(Deals!S19)+SheriffCostsFromBid-(F20)*(1-RTTPurchase)))))+Underwriting!$AA19),0))</f>
        <v/>
      </c>
      <c r="J20" s="31" t="str">
        <f aca="false">IF(Underwriting!$A19="","",ROUND(J$2*$C20,-3))</f>
        <v/>
      </c>
      <c r="K20" s="31" t="str">
        <f aca="false">IF(Underwriting!$A19="","",Underwriting!$T19-((J20)*(1+BuyerPremium)+IF(N(Deals!S19)=0,0,MIN(N(Deals!S19),MAX(0,N(Deals!S19)+SheriffCostsFromBid-(J20)*(1-RTTPurchase))))))</f>
        <v/>
      </c>
      <c r="L20" s="32" t="str">
        <f aca="false">IF(Underwriting!$A19="","",IFERROR(K20/(((J20)*(1+BuyerPremium)+IF(N(Deals!S19)=0,0,MIN(N(Deals!S19),MAX(0,N(Deals!S19)+SheriffCostsFromBid-(J20)*(1-RTTPurchase)))))+Underwriting!$S19)/(Underwriting!$M19/12),0))</f>
        <v/>
      </c>
      <c r="M20" s="32" t="str">
        <f aca="false">IF(Underwriting!$A19="","",IFERROR(Underwriting!$Z19/(((J20)*(1+BuyerPremium)+IF(N(Deals!S19)=0,0,MIN(N(Deals!S19),MAX(0,N(Deals!S19)+SheriffCostsFromBid-(J20)*(1-RTTPurchase)))))+Underwriting!$AA19),0))</f>
        <v/>
      </c>
      <c r="N20" s="31" t="str">
        <f aca="false">IF(Underwriting!$A19="","",ROUND(N$2*$C20,-3))</f>
        <v/>
      </c>
      <c r="O20" s="31" t="str">
        <f aca="false">IF(Underwriting!$A19="","",Underwriting!$T19-((N20)*(1+BuyerPremium)+IF(N(Deals!S19)=0,0,MIN(N(Deals!S19),MAX(0,N(Deals!S19)+SheriffCostsFromBid-(N20)*(1-RTTPurchase))))))</f>
        <v/>
      </c>
      <c r="P20" s="32" t="str">
        <f aca="false">IF(Underwriting!$A19="","",IFERROR(O20/(((N20)*(1+BuyerPremium)+IF(N(Deals!S19)=0,0,MIN(N(Deals!S19),MAX(0,N(Deals!S19)+SheriffCostsFromBid-(N20)*(1-RTTPurchase)))))+Underwriting!$S19)/(Underwriting!$M19/12),0))</f>
        <v/>
      </c>
      <c r="Q20" s="32" t="str">
        <f aca="false">IF(Underwriting!$A19="","",IFERROR(Underwriting!$Z19/(((N20)*(1+BuyerPremium)+IF(N(Deals!S19)=0,0,MIN(N(Deals!S19),MAX(0,N(Deals!S19)+SheriffCostsFromBid-(N20)*(1-RTTPurchase)))))+Underwriting!$AA19),0))</f>
        <v/>
      </c>
      <c r="R20" s="31" t="str">
        <f aca="false">IF(Underwriting!$A19="","",ROUND(R$2*$C20,-3))</f>
        <v/>
      </c>
      <c r="S20" s="31" t="str">
        <f aca="false">IF(Underwriting!$A19="","",Underwriting!$T19-((R20)*(1+BuyerPremium)+IF(N(Deals!S19)=0,0,MIN(N(Deals!S19),MAX(0,N(Deals!S19)+SheriffCostsFromBid-(R20)*(1-RTTPurchase))))))</f>
        <v/>
      </c>
      <c r="T20" s="32" t="str">
        <f aca="false">IF(Underwriting!$A19="","",IFERROR(S20/(((R20)*(1+BuyerPremium)+IF(N(Deals!S19)=0,0,MIN(N(Deals!S19),MAX(0,N(Deals!S19)+SheriffCostsFromBid-(R20)*(1-RTTPurchase)))))+Underwriting!$S19)/(Underwriting!$M19/12),0))</f>
        <v/>
      </c>
      <c r="U20" s="32" t="str">
        <f aca="false">IF(Underwriting!$A19="","",IFERROR(Underwriting!$Z19/(((R20)*(1+BuyerPremium)+IF(N(Deals!S19)=0,0,MIN(N(Deals!S19),MAX(0,N(Deals!S19)+SheriffCostsFromBid-(R20)*(1-RTTPurchase)))))+Underwriting!$AA19),0))</f>
        <v/>
      </c>
      <c r="V20" s="31" t="str">
        <f aca="false">IF(Underwriting!$A19="","",ROUND(V$2*$C20,-3))</f>
        <v/>
      </c>
      <c r="W20" s="31" t="str">
        <f aca="false">IF(Underwriting!$A19="","",Underwriting!$T19-((V20)*(1+BuyerPremium)+IF(N(Deals!S19)=0,0,MIN(N(Deals!S19),MAX(0,N(Deals!S19)+SheriffCostsFromBid-(V20)*(1-RTTPurchase))))))</f>
        <v/>
      </c>
      <c r="X20" s="32" t="str">
        <f aca="false">IF(Underwriting!$A19="","",IFERROR(W20/(((V20)*(1+BuyerPremium)+IF(N(Deals!S19)=0,0,MIN(N(Deals!S19),MAX(0,N(Deals!S19)+SheriffCostsFromBid-(V20)*(1-RTTPurchase)))))+Underwriting!$S19)/(Underwriting!$M19/12),0))</f>
        <v/>
      </c>
      <c r="Y20" s="32" t="str">
        <f aca="false">IF(Underwriting!$A19="","",IFERROR(Underwriting!$Z19/(((V20)*(1+BuyerPremium)+IF(N(Deals!S19)=0,0,MIN(N(Deals!S19),MAX(0,N(Deals!S19)+SheriffCostsFromBid-(V20)*(1-RTTPurchase)))))+Underwriting!$AA19),0))</f>
        <v/>
      </c>
      <c r="Z20" s="31" t="str">
        <f aca="false">IF(Underwriting!$A19="","",ROUND(Z$2*$C20,-3))</f>
        <v/>
      </c>
      <c r="AA20" s="31" t="str">
        <f aca="false">IF(Underwriting!$A19="","",Underwriting!$T19-((Z20)*(1+BuyerPremium)+IF(N(Deals!S19)=0,0,MIN(N(Deals!S19),MAX(0,N(Deals!S19)+SheriffCostsFromBid-(Z20)*(1-RTTPurchase))))))</f>
        <v/>
      </c>
      <c r="AB20" s="32" t="str">
        <f aca="false">IF(Underwriting!$A19="","",IFERROR(AA20/(((Z20)*(1+BuyerPremium)+IF(N(Deals!S19)=0,0,MIN(N(Deals!S19),MAX(0,N(Deals!S19)+SheriffCostsFromBid-(Z20)*(1-RTTPurchase)))))+Underwriting!$S19)/(Underwriting!$M19/12),0))</f>
        <v/>
      </c>
      <c r="AC20" s="32" t="str">
        <f aca="false">IF(Underwriting!$A19="","",IFERROR(Underwriting!$Z19/(((Z20)*(1+BuyerPremium)+IF(N(Deals!S19)=0,0,MIN(N(Deals!S19),MAX(0,N(Deals!S19)+SheriffCostsFromBid-(Z20)*(1-RTTPurchase)))))+Underwriting!$AA19),0))</f>
        <v/>
      </c>
      <c r="AD20" s="31" t="str">
        <f aca="false">IF(Underwriting!$A19="","",ROUND(AD$2*$C20,-3))</f>
        <v/>
      </c>
      <c r="AE20" s="31" t="str">
        <f aca="false">IF(Underwriting!$A19="","",Underwriting!$T19-((AD20)*(1+BuyerPremium)+IF(N(Deals!S19)=0,0,MIN(N(Deals!S19),MAX(0,N(Deals!S19)+SheriffCostsFromBid-(AD20)*(1-RTTPurchase))))))</f>
        <v/>
      </c>
      <c r="AF20" s="32" t="str">
        <f aca="false">IF(Underwriting!$A19="","",IFERROR(AE20/(((AD20)*(1+BuyerPremium)+IF(N(Deals!S19)=0,0,MIN(N(Deals!S19),MAX(0,N(Deals!S19)+SheriffCostsFromBid-(AD20)*(1-RTTPurchase)))))+Underwriting!$S19)/(Underwriting!$M19/12),0))</f>
        <v/>
      </c>
      <c r="AG20" s="32" t="str">
        <f aca="false">IF(Underwriting!$A19="","",IFERROR(Underwriting!$Z19/(((AD20)*(1+BuyerPremium)+IF(N(Deals!S19)=0,0,MIN(N(Deals!S19),MAX(0,N(Deals!S19)+SheriffCostsFromBid-(AD20)*(1-RTTPurchase)))))+Underwriting!$AA19),0))</f>
        <v/>
      </c>
      <c r="AH20" s="31" t="str">
        <f aca="false">IF(Underwriting!$A19="","",$E20)</f>
        <v/>
      </c>
      <c r="AI20" s="31" t="str">
        <f aca="false">IF(Underwriting!$A19="","",Underwriting!$T19-((AH20)*(1+BuyerPremium)+IF(N(Deals!S19)=0,0,MIN(N(Deals!S19),MAX(0,N(Deals!S19)+SheriffCostsFromBid-(AH20)*(1-RTTPurchase))))))</f>
        <v/>
      </c>
      <c r="AJ20" s="32" t="str">
        <f aca="false">IF(Underwriting!$A19="","",IFERROR(AI20/(((AH20)*(1+BuyerPremium)+IF(N(Deals!S19)=0,0,MIN(N(Deals!S19),MAX(0,N(Deals!S19)+SheriffCostsFromBid-(AH20)*(1-RTTPurchase)))))+Underwriting!$S19)/(Underwriting!$M19/12),0))</f>
        <v/>
      </c>
      <c r="AK20" s="32" t="str">
        <f aca="false">IF(Underwriting!$A19="","",IFERROR(Underwriting!$Z19/(((AH20)*(1+BuyerPremium)+IF(N(Deals!S19)=0,0,MIN(N(Deals!S19),MAX(0,N(Deals!S19)+SheriffCostsFromBid-(AH20)*(1-RTTPurchase)))))+Underwriting!$AA19),0))</f>
        <v/>
      </c>
    </row>
    <row r="21" customFormat="false" ht="15" hidden="false" customHeight="true" outlineLevel="0" collapsed="false">
      <c r="A21" s="1" t="str">
        <f aca="false">Underwriting!$A20</f>
        <v/>
      </c>
      <c r="B21" s="1" t="str">
        <f aca="false">Underwriting!$B20</f>
        <v/>
      </c>
      <c r="C21" s="31" t="str">
        <f aca="false">IF(Underwriting!$A20="","",N(Deals!M20))</f>
        <v/>
      </c>
      <c r="D21" s="31" t="str">
        <f aca="false">IF(Underwriting!$A20="","",N(Deals!D20))</f>
        <v/>
      </c>
      <c r="E21" s="31" t="str">
        <f aca="false">IF(Underwriting!$A20="","",Underwriting!$D20)</f>
        <v/>
      </c>
      <c r="F21" s="31" t="str">
        <f aca="false">IF(Underwriting!$A20="","",$D21)</f>
        <v/>
      </c>
      <c r="G21" s="31" t="str">
        <f aca="false">IF(Underwriting!$A20="","",Underwriting!$T20-((F21)*(1+BuyerPremium)+IF(N(Deals!S20)=0,0,MIN(N(Deals!S20),MAX(0,N(Deals!S20)+SheriffCostsFromBid-(F21)*(1-RTTPurchase))))))</f>
        <v/>
      </c>
      <c r="H21" s="32" t="str">
        <f aca="false">IF(Underwriting!$A20="","",IFERROR(G21/(((F21)*(1+BuyerPremium)+IF(N(Deals!S20)=0,0,MIN(N(Deals!S20),MAX(0,N(Deals!S20)+SheriffCostsFromBid-(F21)*(1-RTTPurchase)))))+Underwriting!$S20)/(Underwriting!$M20/12),0))</f>
        <v/>
      </c>
      <c r="I21" s="32" t="str">
        <f aca="false">IF(Underwriting!$A20="","",IFERROR(Underwriting!$Z20/(((F21)*(1+BuyerPremium)+IF(N(Deals!S20)=0,0,MIN(N(Deals!S20),MAX(0,N(Deals!S20)+SheriffCostsFromBid-(F21)*(1-RTTPurchase)))))+Underwriting!$AA20),0))</f>
        <v/>
      </c>
      <c r="J21" s="31" t="str">
        <f aca="false">IF(Underwriting!$A20="","",ROUND(J$2*$C21,-3))</f>
        <v/>
      </c>
      <c r="K21" s="31" t="str">
        <f aca="false">IF(Underwriting!$A20="","",Underwriting!$T20-((J21)*(1+BuyerPremium)+IF(N(Deals!S20)=0,0,MIN(N(Deals!S20),MAX(0,N(Deals!S20)+SheriffCostsFromBid-(J21)*(1-RTTPurchase))))))</f>
        <v/>
      </c>
      <c r="L21" s="32" t="str">
        <f aca="false">IF(Underwriting!$A20="","",IFERROR(K21/(((J21)*(1+BuyerPremium)+IF(N(Deals!S20)=0,0,MIN(N(Deals!S20),MAX(0,N(Deals!S20)+SheriffCostsFromBid-(J21)*(1-RTTPurchase)))))+Underwriting!$S20)/(Underwriting!$M20/12),0))</f>
        <v/>
      </c>
      <c r="M21" s="32" t="str">
        <f aca="false">IF(Underwriting!$A20="","",IFERROR(Underwriting!$Z20/(((J21)*(1+BuyerPremium)+IF(N(Deals!S20)=0,0,MIN(N(Deals!S20),MAX(0,N(Deals!S20)+SheriffCostsFromBid-(J21)*(1-RTTPurchase)))))+Underwriting!$AA20),0))</f>
        <v/>
      </c>
      <c r="N21" s="31" t="str">
        <f aca="false">IF(Underwriting!$A20="","",ROUND(N$2*$C21,-3))</f>
        <v/>
      </c>
      <c r="O21" s="31" t="str">
        <f aca="false">IF(Underwriting!$A20="","",Underwriting!$T20-((N21)*(1+BuyerPremium)+IF(N(Deals!S20)=0,0,MIN(N(Deals!S20),MAX(0,N(Deals!S20)+SheriffCostsFromBid-(N21)*(1-RTTPurchase))))))</f>
        <v/>
      </c>
      <c r="P21" s="32" t="str">
        <f aca="false">IF(Underwriting!$A20="","",IFERROR(O21/(((N21)*(1+BuyerPremium)+IF(N(Deals!S20)=0,0,MIN(N(Deals!S20),MAX(0,N(Deals!S20)+SheriffCostsFromBid-(N21)*(1-RTTPurchase)))))+Underwriting!$S20)/(Underwriting!$M20/12),0))</f>
        <v/>
      </c>
      <c r="Q21" s="32" t="str">
        <f aca="false">IF(Underwriting!$A20="","",IFERROR(Underwriting!$Z20/(((N21)*(1+BuyerPremium)+IF(N(Deals!S20)=0,0,MIN(N(Deals!S20),MAX(0,N(Deals!S20)+SheriffCostsFromBid-(N21)*(1-RTTPurchase)))))+Underwriting!$AA20),0))</f>
        <v/>
      </c>
      <c r="R21" s="31" t="str">
        <f aca="false">IF(Underwriting!$A20="","",ROUND(R$2*$C21,-3))</f>
        <v/>
      </c>
      <c r="S21" s="31" t="str">
        <f aca="false">IF(Underwriting!$A20="","",Underwriting!$T20-((R21)*(1+BuyerPremium)+IF(N(Deals!S20)=0,0,MIN(N(Deals!S20),MAX(0,N(Deals!S20)+SheriffCostsFromBid-(R21)*(1-RTTPurchase))))))</f>
        <v/>
      </c>
      <c r="T21" s="32" t="str">
        <f aca="false">IF(Underwriting!$A20="","",IFERROR(S21/(((R21)*(1+BuyerPremium)+IF(N(Deals!S20)=0,0,MIN(N(Deals!S20),MAX(0,N(Deals!S20)+SheriffCostsFromBid-(R21)*(1-RTTPurchase)))))+Underwriting!$S20)/(Underwriting!$M20/12),0))</f>
        <v/>
      </c>
      <c r="U21" s="32" t="str">
        <f aca="false">IF(Underwriting!$A20="","",IFERROR(Underwriting!$Z20/(((R21)*(1+BuyerPremium)+IF(N(Deals!S20)=0,0,MIN(N(Deals!S20),MAX(0,N(Deals!S20)+SheriffCostsFromBid-(R21)*(1-RTTPurchase)))))+Underwriting!$AA20),0))</f>
        <v/>
      </c>
      <c r="V21" s="31" t="str">
        <f aca="false">IF(Underwriting!$A20="","",ROUND(V$2*$C21,-3))</f>
        <v/>
      </c>
      <c r="W21" s="31" t="str">
        <f aca="false">IF(Underwriting!$A20="","",Underwriting!$T20-((V21)*(1+BuyerPremium)+IF(N(Deals!S20)=0,0,MIN(N(Deals!S20),MAX(0,N(Deals!S20)+SheriffCostsFromBid-(V21)*(1-RTTPurchase))))))</f>
        <v/>
      </c>
      <c r="X21" s="32" t="str">
        <f aca="false">IF(Underwriting!$A20="","",IFERROR(W21/(((V21)*(1+BuyerPremium)+IF(N(Deals!S20)=0,0,MIN(N(Deals!S20),MAX(0,N(Deals!S20)+SheriffCostsFromBid-(V21)*(1-RTTPurchase)))))+Underwriting!$S20)/(Underwriting!$M20/12),0))</f>
        <v/>
      </c>
      <c r="Y21" s="32" t="str">
        <f aca="false">IF(Underwriting!$A20="","",IFERROR(Underwriting!$Z20/(((V21)*(1+BuyerPremium)+IF(N(Deals!S20)=0,0,MIN(N(Deals!S20),MAX(0,N(Deals!S20)+SheriffCostsFromBid-(V21)*(1-RTTPurchase)))))+Underwriting!$AA20),0))</f>
        <v/>
      </c>
      <c r="Z21" s="31" t="str">
        <f aca="false">IF(Underwriting!$A20="","",ROUND(Z$2*$C21,-3))</f>
        <v/>
      </c>
      <c r="AA21" s="31" t="str">
        <f aca="false">IF(Underwriting!$A20="","",Underwriting!$T20-((Z21)*(1+BuyerPremium)+IF(N(Deals!S20)=0,0,MIN(N(Deals!S20),MAX(0,N(Deals!S20)+SheriffCostsFromBid-(Z21)*(1-RTTPurchase))))))</f>
        <v/>
      </c>
      <c r="AB21" s="32" t="str">
        <f aca="false">IF(Underwriting!$A20="","",IFERROR(AA21/(((Z21)*(1+BuyerPremium)+IF(N(Deals!S20)=0,0,MIN(N(Deals!S20),MAX(0,N(Deals!S20)+SheriffCostsFromBid-(Z21)*(1-RTTPurchase)))))+Underwriting!$S20)/(Underwriting!$M20/12),0))</f>
        <v/>
      </c>
      <c r="AC21" s="32" t="str">
        <f aca="false">IF(Underwriting!$A20="","",IFERROR(Underwriting!$Z20/(((Z21)*(1+BuyerPremium)+IF(N(Deals!S20)=0,0,MIN(N(Deals!S20),MAX(0,N(Deals!S20)+SheriffCostsFromBid-(Z21)*(1-RTTPurchase)))))+Underwriting!$AA20),0))</f>
        <v/>
      </c>
      <c r="AD21" s="31" t="str">
        <f aca="false">IF(Underwriting!$A20="","",ROUND(AD$2*$C21,-3))</f>
        <v/>
      </c>
      <c r="AE21" s="31" t="str">
        <f aca="false">IF(Underwriting!$A20="","",Underwriting!$T20-((AD21)*(1+BuyerPremium)+IF(N(Deals!S20)=0,0,MIN(N(Deals!S20),MAX(0,N(Deals!S20)+SheriffCostsFromBid-(AD21)*(1-RTTPurchase))))))</f>
        <v/>
      </c>
      <c r="AF21" s="32" t="str">
        <f aca="false">IF(Underwriting!$A20="","",IFERROR(AE21/(((AD21)*(1+BuyerPremium)+IF(N(Deals!S20)=0,0,MIN(N(Deals!S20),MAX(0,N(Deals!S20)+SheriffCostsFromBid-(AD21)*(1-RTTPurchase)))))+Underwriting!$S20)/(Underwriting!$M20/12),0))</f>
        <v/>
      </c>
      <c r="AG21" s="32" t="str">
        <f aca="false">IF(Underwriting!$A20="","",IFERROR(Underwriting!$Z20/(((AD21)*(1+BuyerPremium)+IF(N(Deals!S20)=0,0,MIN(N(Deals!S20),MAX(0,N(Deals!S20)+SheriffCostsFromBid-(AD21)*(1-RTTPurchase)))))+Underwriting!$AA20),0))</f>
        <v/>
      </c>
      <c r="AH21" s="31" t="str">
        <f aca="false">IF(Underwriting!$A20="","",$E21)</f>
        <v/>
      </c>
      <c r="AI21" s="31" t="str">
        <f aca="false">IF(Underwriting!$A20="","",Underwriting!$T20-((AH21)*(1+BuyerPremium)+IF(N(Deals!S20)=0,0,MIN(N(Deals!S20),MAX(0,N(Deals!S20)+SheriffCostsFromBid-(AH21)*(1-RTTPurchase))))))</f>
        <v/>
      </c>
      <c r="AJ21" s="32" t="str">
        <f aca="false">IF(Underwriting!$A20="","",IFERROR(AI21/(((AH21)*(1+BuyerPremium)+IF(N(Deals!S20)=0,0,MIN(N(Deals!S20),MAX(0,N(Deals!S20)+SheriffCostsFromBid-(AH21)*(1-RTTPurchase)))))+Underwriting!$S20)/(Underwriting!$M20/12),0))</f>
        <v/>
      </c>
      <c r="AK21" s="32" t="str">
        <f aca="false">IF(Underwriting!$A20="","",IFERROR(Underwriting!$Z20/(((AH21)*(1+BuyerPremium)+IF(N(Deals!S20)=0,0,MIN(N(Deals!S20),MAX(0,N(Deals!S20)+SheriffCostsFromBid-(AH21)*(1-RTTPurchase)))))+Underwriting!$AA20),0))</f>
        <v/>
      </c>
    </row>
    <row r="22" customFormat="false" ht="15" hidden="false" customHeight="true" outlineLevel="0" collapsed="false">
      <c r="A22" s="1" t="str">
        <f aca="false">Underwriting!$A21</f>
        <v/>
      </c>
      <c r="B22" s="1" t="str">
        <f aca="false">Underwriting!$B21</f>
        <v/>
      </c>
      <c r="C22" s="31" t="str">
        <f aca="false">IF(Underwriting!$A21="","",N(Deals!M21))</f>
        <v/>
      </c>
      <c r="D22" s="31" t="str">
        <f aca="false">IF(Underwriting!$A21="","",N(Deals!D21))</f>
        <v/>
      </c>
      <c r="E22" s="31" t="str">
        <f aca="false">IF(Underwriting!$A21="","",Underwriting!$D21)</f>
        <v/>
      </c>
      <c r="F22" s="31" t="str">
        <f aca="false">IF(Underwriting!$A21="","",$D22)</f>
        <v/>
      </c>
      <c r="G22" s="31" t="str">
        <f aca="false">IF(Underwriting!$A21="","",Underwriting!$T21-((F22)*(1+BuyerPremium)+IF(N(Deals!S21)=0,0,MIN(N(Deals!S21),MAX(0,N(Deals!S21)+SheriffCostsFromBid-(F22)*(1-RTTPurchase))))))</f>
        <v/>
      </c>
      <c r="H22" s="32" t="str">
        <f aca="false">IF(Underwriting!$A21="","",IFERROR(G22/(((F22)*(1+BuyerPremium)+IF(N(Deals!S21)=0,0,MIN(N(Deals!S21),MAX(0,N(Deals!S21)+SheriffCostsFromBid-(F22)*(1-RTTPurchase)))))+Underwriting!$S21)/(Underwriting!$M21/12),0))</f>
        <v/>
      </c>
      <c r="I22" s="32" t="str">
        <f aca="false">IF(Underwriting!$A21="","",IFERROR(Underwriting!$Z21/(((F22)*(1+BuyerPremium)+IF(N(Deals!S21)=0,0,MIN(N(Deals!S21),MAX(0,N(Deals!S21)+SheriffCostsFromBid-(F22)*(1-RTTPurchase)))))+Underwriting!$AA21),0))</f>
        <v/>
      </c>
      <c r="J22" s="31" t="str">
        <f aca="false">IF(Underwriting!$A21="","",ROUND(J$2*$C22,-3))</f>
        <v/>
      </c>
      <c r="K22" s="31" t="str">
        <f aca="false">IF(Underwriting!$A21="","",Underwriting!$T21-((J22)*(1+BuyerPremium)+IF(N(Deals!S21)=0,0,MIN(N(Deals!S21),MAX(0,N(Deals!S21)+SheriffCostsFromBid-(J22)*(1-RTTPurchase))))))</f>
        <v/>
      </c>
      <c r="L22" s="32" t="str">
        <f aca="false">IF(Underwriting!$A21="","",IFERROR(K22/(((J22)*(1+BuyerPremium)+IF(N(Deals!S21)=0,0,MIN(N(Deals!S21),MAX(0,N(Deals!S21)+SheriffCostsFromBid-(J22)*(1-RTTPurchase)))))+Underwriting!$S21)/(Underwriting!$M21/12),0))</f>
        <v/>
      </c>
      <c r="M22" s="32" t="str">
        <f aca="false">IF(Underwriting!$A21="","",IFERROR(Underwriting!$Z21/(((J22)*(1+BuyerPremium)+IF(N(Deals!S21)=0,0,MIN(N(Deals!S21),MAX(0,N(Deals!S21)+SheriffCostsFromBid-(J22)*(1-RTTPurchase)))))+Underwriting!$AA21),0))</f>
        <v/>
      </c>
      <c r="N22" s="31" t="str">
        <f aca="false">IF(Underwriting!$A21="","",ROUND(N$2*$C22,-3))</f>
        <v/>
      </c>
      <c r="O22" s="31" t="str">
        <f aca="false">IF(Underwriting!$A21="","",Underwriting!$T21-((N22)*(1+BuyerPremium)+IF(N(Deals!S21)=0,0,MIN(N(Deals!S21),MAX(0,N(Deals!S21)+SheriffCostsFromBid-(N22)*(1-RTTPurchase))))))</f>
        <v/>
      </c>
      <c r="P22" s="32" t="str">
        <f aca="false">IF(Underwriting!$A21="","",IFERROR(O22/(((N22)*(1+BuyerPremium)+IF(N(Deals!S21)=0,0,MIN(N(Deals!S21),MAX(0,N(Deals!S21)+SheriffCostsFromBid-(N22)*(1-RTTPurchase)))))+Underwriting!$S21)/(Underwriting!$M21/12),0))</f>
        <v/>
      </c>
      <c r="Q22" s="32" t="str">
        <f aca="false">IF(Underwriting!$A21="","",IFERROR(Underwriting!$Z21/(((N22)*(1+BuyerPremium)+IF(N(Deals!S21)=0,0,MIN(N(Deals!S21),MAX(0,N(Deals!S21)+SheriffCostsFromBid-(N22)*(1-RTTPurchase)))))+Underwriting!$AA21),0))</f>
        <v/>
      </c>
      <c r="R22" s="31" t="str">
        <f aca="false">IF(Underwriting!$A21="","",ROUND(R$2*$C22,-3))</f>
        <v/>
      </c>
      <c r="S22" s="31" t="str">
        <f aca="false">IF(Underwriting!$A21="","",Underwriting!$T21-((R22)*(1+BuyerPremium)+IF(N(Deals!S21)=0,0,MIN(N(Deals!S21),MAX(0,N(Deals!S21)+SheriffCostsFromBid-(R22)*(1-RTTPurchase))))))</f>
        <v/>
      </c>
      <c r="T22" s="32" t="str">
        <f aca="false">IF(Underwriting!$A21="","",IFERROR(S22/(((R22)*(1+BuyerPremium)+IF(N(Deals!S21)=0,0,MIN(N(Deals!S21),MAX(0,N(Deals!S21)+SheriffCostsFromBid-(R22)*(1-RTTPurchase)))))+Underwriting!$S21)/(Underwriting!$M21/12),0))</f>
        <v/>
      </c>
      <c r="U22" s="32" t="str">
        <f aca="false">IF(Underwriting!$A21="","",IFERROR(Underwriting!$Z21/(((R22)*(1+BuyerPremium)+IF(N(Deals!S21)=0,0,MIN(N(Deals!S21),MAX(0,N(Deals!S21)+SheriffCostsFromBid-(R22)*(1-RTTPurchase)))))+Underwriting!$AA21),0))</f>
        <v/>
      </c>
      <c r="V22" s="31" t="str">
        <f aca="false">IF(Underwriting!$A21="","",ROUND(V$2*$C22,-3))</f>
        <v/>
      </c>
      <c r="W22" s="31" t="str">
        <f aca="false">IF(Underwriting!$A21="","",Underwriting!$T21-((V22)*(1+BuyerPremium)+IF(N(Deals!S21)=0,0,MIN(N(Deals!S21),MAX(0,N(Deals!S21)+SheriffCostsFromBid-(V22)*(1-RTTPurchase))))))</f>
        <v/>
      </c>
      <c r="X22" s="32" t="str">
        <f aca="false">IF(Underwriting!$A21="","",IFERROR(W22/(((V22)*(1+BuyerPremium)+IF(N(Deals!S21)=0,0,MIN(N(Deals!S21),MAX(0,N(Deals!S21)+SheriffCostsFromBid-(V22)*(1-RTTPurchase)))))+Underwriting!$S21)/(Underwriting!$M21/12),0))</f>
        <v/>
      </c>
      <c r="Y22" s="32" t="str">
        <f aca="false">IF(Underwriting!$A21="","",IFERROR(Underwriting!$Z21/(((V22)*(1+BuyerPremium)+IF(N(Deals!S21)=0,0,MIN(N(Deals!S21),MAX(0,N(Deals!S21)+SheriffCostsFromBid-(V22)*(1-RTTPurchase)))))+Underwriting!$AA21),0))</f>
        <v/>
      </c>
      <c r="Z22" s="31" t="str">
        <f aca="false">IF(Underwriting!$A21="","",ROUND(Z$2*$C22,-3))</f>
        <v/>
      </c>
      <c r="AA22" s="31" t="str">
        <f aca="false">IF(Underwriting!$A21="","",Underwriting!$T21-((Z22)*(1+BuyerPremium)+IF(N(Deals!S21)=0,0,MIN(N(Deals!S21),MAX(0,N(Deals!S21)+SheriffCostsFromBid-(Z22)*(1-RTTPurchase))))))</f>
        <v/>
      </c>
      <c r="AB22" s="32" t="str">
        <f aca="false">IF(Underwriting!$A21="","",IFERROR(AA22/(((Z22)*(1+BuyerPremium)+IF(N(Deals!S21)=0,0,MIN(N(Deals!S21),MAX(0,N(Deals!S21)+SheriffCostsFromBid-(Z22)*(1-RTTPurchase)))))+Underwriting!$S21)/(Underwriting!$M21/12),0))</f>
        <v/>
      </c>
      <c r="AC22" s="32" t="str">
        <f aca="false">IF(Underwriting!$A21="","",IFERROR(Underwriting!$Z21/(((Z22)*(1+BuyerPremium)+IF(N(Deals!S21)=0,0,MIN(N(Deals!S21),MAX(0,N(Deals!S21)+SheriffCostsFromBid-(Z22)*(1-RTTPurchase)))))+Underwriting!$AA21),0))</f>
        <v/>
      </c>
      <c r="AD22" s="31" t="str">
        <f aca="false">IF(Underwriting!$A21="","",ROUND(AD$2*$C22,-3))</f>
        <v/>
      </c>
      <c r="AE22" s="31" t="str">
        <f aca="false">IF(Underwriting!$A21="","",Underwriting!$T21-((AD22)*(1+BuyerPremium)+IF(N(Deals!S21)=0,0,MIN(N(Deals!S21),MAX(0,N(Deals!S21)+SheriffCostsFromBid-(AD22)*(1-RTTPurchase))))))</f>
        <v/>
      </c>
      <c r="AF22" s="32" t="str">
        <f aca="false">IF(Underwriting!$A21="","",IFERROR(AE22/(((AD22)*(1+BuyerPremium)+IF(N(Deals!S21)=0,0,MIN(N(Deals!S21),MAX(0,N(Deals!S21)+SheriffCostsFromBid-(AD22)*(1-RTTPurchase)))))+Underwriting!$S21)/(Underwriting!$M21/12),0))</f>
        <v/>
      </c>
      <c r="AG22" s="32" t="str">
        <f aca="false">IF(Underwriting!$A21="","",IFERROR(Underwriting!$Z21/(((AD22)*(1+BuyerPremium)+IF(N(Deals!S21)=0,0,MIN(N(Deals!S21),MAX(0,N(Deals!S21)+SheriffCostsFromBid-(AD22)*(1-RTTPurchase)))))+Underwriting!$AA21),0))</f>
        <v/>
      </c>
      <c r="AH22" s="31" t="str">
        <f aca="false">IF(Underwriting!$A21="","",$E22)</f>
        <v/>
      </c>
      <c r="AI22" s="31" t="str">
        <f aca="false">IF(Underwriting!$A21="","",Underwriting!$T21-((AH22)*(1+BuyerPremium)+IF(N(Deals!S21)=0,0,MIN(N(Deals!S21),MAX(0,N(Deals!S21)+SheriffCostsFromBid-(AH22)*(1-RTTPurchase))))))</f>
        <v/>
      </c>
      <c r="AJ22" s="32" t="str">
        <f aca="false">IF(Underwriting!$A21="","",IFERROR(AI22/(((AH22)*(1+BuyerPremium)+IF(N(Deals!S21)=0,0,MIN(N(Deals!S21),MAX(0,N(Deals!S21)+SheriffCostsFromBid-(AH22)*(1-RTTPurchase)))))+Underwriting!$S21)/(Underwriting!$M21/12),0))</f>
        <v/>
      </c>
      <c r="AK22" s="32" t="str">
        <f aca="false">IF(Underwriting!$A21="","",IFERROR(Underwriting!$Z21/(((AH22)*(1+BuyerPremium)+IF(N(Deals!S21)=0,0,MIN(N(Deals!S21),MAX(0,N(Deals!S21)+SheriffCostsFromBid-(AH22)*(1-RTTPurchase)))))+Underwriting!$AA21),0))</f>
        <v/>
      </c>
    </row>
    <row r="23" customFormat="false" ht="15" hidden="false" customHeight="true" outlineLevel="0" collapsed="false">
      <c r="A23" s="1" t="str">
        <f aca="false">Underwriting!$A22</f>
        <v/>
      </c>
      <c r="B23" s="1" t="str">
        <f aca="false">Underwriting!$B22</f>
        <v/>
      </c>
      <c r="C23" s="31" t="str">
        <f aca="false">IF(Underwriting!$A22="","",N(Deals!M22))</f>
        <v/>
      </c>
      <c r="D23" s="31" t="str">
        <f aca="false">IF(Underwriting!$A22="","",N(Deals!D22))</f>
        <v/>
      </c>
      <c r="E23" s="31" t="str">
        <f aca="false">IF(Underwriting!$A22="","",Underwriting!$D22)</f>
        <v/>
      </c>
      <c r="F23" s="31" t="str">
        <f aca="false">IF(Underwriting!$A22="","",$D23)</f>
        <v/>
      </c>
      <c r="G23" s="31" t="str">
        <f aca="false">IF(Underwriting!$A22="","",Underwriting!$T22-((F23)*(1+BuyerPremium)+IF(N(Deals!S22)=0,0,MIN(N(Deals!S22),MAX(0,N(Deals!S22)+SheriffCostsFromBid-(F23)*(1-RTTPurchase))))))</f>
        <v/>
      </c>
      <c r="H23" s="32" t="str">
        <f aca="false">IF(Underwriting!$A22="","",IFERROR(G23/(((F23)*(1+BuyerPremium)+IF(N(Deals!S22)=0,0,MIN(N(Deals!S22),MAX(0,N(Deals!S22)+SheriffCostsFromBid-(F23)*(1-RTTPurchase)))))+Underwriting!$S22)/(Underwriting!$M22/12),0))</f>
        <v/>
      </c>
      <c r="I23" s="32" t="str">
        <f aca="false">IF(Underwriting!$A22="","",IFERROR(Underwriting!$Z22/(((F23)*(1+BuyerPremium)+IF(N(Deals!S22)=0,0,MIN(N(Deals!S22),MAX(0,N(Deals!S22)+SheriffCostsFromBid-(F23)*(1-RTTPurchase)))))+Underwriting!$AA22),0))</f>
        <v/>
      </c>
      <c r="J23" s="31" t="str">
        <f aca="false">IF(Underwriting!$A22="","",ROUND(J$2*$C23,-3))</f>
        <v/>
      </c>
      <c r="K23" s="31" t="str">
        <f aca="false">IF(Underwriting!$A22="","",Underwriting!$T22-((J23)*(1+BuyerPremium)+IF(N(Deals!S22)=0,0,MIN(N(Deals!S22),MAX(0,N(Deals!S22)+SheriffCostsFromBid-(J23)*(1-RTTPurchase))))))</f>
        <v/>
      </c>
      <c r="L23" s="32" t="str">
        <f aca="false">IF(Underwriting!$A22="","",IFERROR(K23/(((J23)*(1+BuyerPremium)+IF(N(Deals!S22)=0,0,MIN(N(Deals!S22),MAX(0,N(Deals!S22)+SheriffCostsFromBid-(J23)*(1-RTTPurchase)))))+Underwriting!$S22)/(Underwriting!$M22/12),0))</f>
        <v/>
      </c>
      <c r="M23" s="32" t="str">
        <f aca="false">IF(Underwriting!$A22="","",IFERROR(Underwriting!$Z22/(((J23)*(1+BuyerPremium)+IF(N(Deals!S22)=0,0,MIN(N(Deals!S22),MAX(0,N(Deals!S22)+SheriffCostsFromBid-(J23)*(1-RTTPurchase)))))+Underwriting!$AA22),0))</f>
        <v/>
      </c>
      <c r="N23" s="31" t="str">
        <f aca="false">IF(Underwriting!$A22="","",ROUND(N$2*$C23,-3))</f>
        <v/>
      </c>
      <c r="O23" s="31" t="str">
        <f aca="false">IF(Underwriting!$A22="","",Underwriting!$T22-((N23)*(1+BuyerPremium)+IF(N(Deals!S22)=0,0,MIN(N(Deals!S22),MAX(0,N(Deals!S22)+SheriffCostsFromBid-(N23)*(1-RTTPurchase))))))</f>
        <v/>
      </c>
      <c r="P23" s="32" t="str">
        <f aca="false">IF(Underwriting!$A22="","",IFERROR(O23/(((N23)*(1+BuyerPremium)+IF(N(Deals!S22)=0,0,MIN(N(Deals!S22),MAX(0,N(Deals!S22)+SheriffCostsFromBid-(N23)*(1-RTTPurchase)))))+Underwriting!$S22)/(Underwriting!$M22/12),0))</f>
        <v/>
      </c>
      <c r="Q23" s="32" t="str">
        <f aca="false">IF(Underwriting!$A22="","",IFERROR(Underwriting!$Z22/(((N23)*(1+BuyerPremium)+IF(N(Deals!S22)=0,0,MIN(N(Deals!S22),MAX(0,N(Deals!S22)+SheriffCostsFromBid-(N23)*(1-RTTPurchase)))))+Underwriting!$AA22),0))</f>
        <v/>
      </c>
      <c r="R23" s="31" t="str">
        <f aca="false">IF(Underwriting!$A22="","",ROUND(R$2*$C23,-3))</f>
        <v/>
      </c>
      <c r="S23" s="31" t="str">
        <f aca="false">IF(Underwriting!$A22="","",Underwriting!$T22-((R23)*(1+BuyerPremium)+IF(N(Deals!S22)=0,0,MIN(N(Deals!S22),MAX(0,N(Deals!S22)+SheriffCostsFromBid-(R23)*(1-RTTPurchase))))))</f>
        <v/>
      </c>
      <c r="T23" s="32" t="str">
        <f aca="false">IF(Underwriting!$A22="","",IFERROR(S23/(((R23)*(1+BuyerPremium)+IF(N(Deals!S22)=0,0,MIN(N(Deals!S22),MAX(0,N(Deals!S22)+SheriffCostsFromBid-(R23)*(1-RTTPurchase)))))+Underwriting!$S22)/(Underwriting!$M22/12),0))</f>
        <v/>
      </c>
      <c r="U23" s="32" t="str">
        <f aca="false">IF(Underwriting!$A22="","",IFERROR(Underwriting!$Z22/(((R23)*(1+BuyerPremium)+IF(N(Deals!S22)=0,0,MIN(N(Deals!S22),MAX(0,N(Deals!S22)+SheriffCostsFromBid-(R23)*(1-RTTPurchase)))))+Underwriting!$AA22),0))</f>
        <v/>
      </c>
      <c r="V23" s="31" t="str">
        <f aca="false">IF(Underwriting!$A22="","",ROUND(V$2*$C23,-3))</f>
        <v/>
      </c>
      <c r="W23" s="31" t="str">
        <f aca="false">IF(Underwriting!$A22="","",Underwriting!$T22-((V23)*(1+BuyerPremium)+IF(N(Deals!S22)=0,0,MIN(N(Deals!S22),MAX(0,N(Deals!S22)+SheriffCostsFromBid-(V23)*(1-RTTPurchase))))))</f>
        <v/>
      </c>
      <c r="X23" s="32" t="str">
        <f aca="false">IF(Underwriting!$A22="","",IFERROR(W23/(((V23)*(1+BuyerPremium)+IF(N(Deals!S22)=0,0,MIN(N(Deals!S22),MAX(0,N(Deals!S22)+SheriffCostsFromBid-(V23)*(1-RTTPurchase)))))+Underwriting!$S22)/(Underwriting!$M22/12),0))</f>
        <v/>
      </c>
      <c r="Y23" s="32" t="str">
        <f aca="false">IF(Underwriting!$A22="","",IFERROR(Underwriting!$Z22/(((V23)*(1+BuyerPremium)+IF(N(Deals!S22)=0,0,MIN(N(Deals!S22),MAX(0,N(Deals!S22)+SheriffCostsFromBid-(V23)*(1-RTTPurchase)))))+Underwriting!$AA22),0))</f>
        <v/>
      </c>
      <c r="Z23" s="31" t="str">
        <f aca="false">IF(Underwriting!$A22="","",ROUND(Z$2*$C23,-3))</f>
        <v/>
      </c>
      <c r="AA23" s="31" t="str">
        <f aca="false">IF(Underwriting!$A22="","",Underwriting!$T22-((Z23)*(1+BuyerPremium)+IF(N(Deals!S22)=0,0,MIN(N(Deals!S22),MAX(0,N(Deals!S22)+SheriffCostsFromBid-(Z23)*(1-RTTPurchase))))))</f>
        <v/>
      </c>
      <c r="AB23" s="32" t="str">
        <f aca="false">IF(Underwriting!$A22="","",IFERROR(AA23/(((Z23)*(1+BuyerPremium)+IF(N(Deals!S22)=0,0,MIN(N(Deals!S22),MAX(0,N(Deals!S22)+SheriffCostsFromBid-(Z23)*(1-RTTPurchase)))))+Underwriting!$S22)/(Underwriting!$M22/12),0))</f>
        <v/>
      </c>
      <c r="AC23" s="32" t="str">
        <f aca="false">IF(Underwriting!$A22="","",IFERROR(Underwriting!$Z22/(((Z23)*(1+BuyerPremium)+IF(N(Deals!S22)=0,0,MIN(N(Deals!S22),MAX(0,N(Deals!S22)+SheriffCostsFromBid-(Z23)*(1-RTTPurchase)))))+Underwriting!$AA22),0))</f>
        <v/>
      </c>
      <c r="AD23" s="31" t="str">
        <f aca="false">IF(Underwriting!$A22="","",ROUND(AD$2*$C23,-3))</f>
        <v/>
      </c>
      <c r="AE23" s="31" t="str">
        <f aca="false">IF(Underwriting!$A22="","",Underwriting!$T22-((AD23)*(1+BuyerPremium)+IF(N(Deals!S22)=0,0,MIN(N(Deals!S22),MAX(0,N(Deals!S22)+SheriffCostsFromBid-(AD23)*(1-RTTPurchase))))))</f>
        <v/>
      </c>
      <c r="AF23" s="32" t="str">
        <f aca="false">IF(Underwriting!$A22="","",IFERROR(AE23/(((AD23)*(1+BuyerPremium)+IF(N(Deals!S22)=0,0,MIN(N(Deals!S22),MAX(0,N(Deals!S22)+SheriffCostsFromBid-(AD23)*(1-RTTPurchase)))))+Underwriting!$S22)/(Underwriting!$M22/12),0))</f>
        <v/>
      </c>
      <c r="AG23" s="32" t="str">
        <f aca="false">IF(Underwriting!$A22="","",IFERROR(Underwriting!$Z22/(((AD23)*(1+BuyerPremium)+IF(N(Deals!S22)=0,0,MIN(N(Deals!S22),MAX(0,N(Deals!S22)+SheriffCostsFromBid-(AD23)*(1-RTTPurchase)))))+Underwriting!$AA22),0))</f>
        <v/>
      </c>
      <c r="AH23" s="31" t="str">
        <f aca="false">IF(Underwriting!$A22="","",$E23)</f>
        <v/>
      </c>
      <c r="AI23" s="31" t="str">
        <f aca="false">IF(Underwriting!$A22="","",Underwriting!$T22-((AH23)*(1+BuyerPremium)+IF(N(Deals!S22)=0,0,MIN(N(Deals!S22),MAX(0,N(Deals!S22)+SheriffCostsFromBid-(AH23)*(1-RTTPurchase))))))</f>
        <v/>
      </c>
      <c r="AJ23" s="32" t="str">
        <f aca="false">IF(Underwriting!$A22="","",IFERROR(AI23/(((AH23)*(1+BuyerPremium)+IF(N(Deals!S22)=0,0,MIN(N(Deals!S22),MAX(0,N(Deals!S22)+SheriffCostsFromBid-(AH23)*(1-RTTPurchase)))))+Underwriting!$S22)/(Underwriting!$M22/12),0))</f>
        <v/>
      </c>
      <c r="AK23" s="32" t="str">
        <f aca="false">IF(Underwriting!$A22="","",IFERROR(Underwriting!$Z22/(((AH23)*(1+BuyerPremium)+IF(N(Deals!S22)=0,0,MIN(N(Deals!S22),MAX(0,N(Deals!S22)+SheriffCostsFromBid-(AH23)*(1-RTTPurchase)))))+Underwriting!$AA22),0))</f>
        <v/>
      </c>
    </row>
    <row r="24" customFormat="false" ht="15" hidden="false" customHeight="true" outlineLevel="0" collapsed="false">
      <c r="A24" s="1" t="str">
        <f aca="false">Underwriting!$A23</f>
        <v/>
      </c>
      <c r="B24" s="1" t="str">
        <f aca="false">Underwriting!$B23</f>
        <v/>
      </c>
      <c r="C24" s="31" t="str">
        <f aca="false">IF(Underwriting!$A23="","",N(Deals!M23))</f>
        <v/>
      </c>
      <c r="D24" s="31" t="str">
        <f aca="false">IF(Underwriting!$A23="","",N(Deals!D23))</f>
        <v/>
      </c>
      <c r="E24" s="31" t="str">
        <f aca="false">IF(Underwriting!$A23="","",Underwriting!$D23)</f>
        <v/>
      </c>
      <c r="F24" s="31" t="str">
        <f aca="false">IF(Underwriting!$A23="","",$D24)</f>
        <v/>
      </c>
      <c r="G24" s="31" t="str">
        <f aca="false">IF(Underwriting!$A23="","",Underwriting!$T23-((F24)*(1+BuyerPremium)+IF(N(Deals!S23)=0,0,MIN(N(Deals!S23),MAX(0,N(Deals!S23)+SheriffCostsFromBid-(F24)*(1-RTTPurchase))))))</f>
        <v/>
      </c>
      <c r="H24" s="32" t="str">
        <f aca="false">IF(Underwriting!$A23="","",IFERROR(G24/(((F24)*(1+BuyerPremium)+IF(N(Deals!S23)=0,0,MIN(N(Deals!S23),MAX(0,N(Deals!S23)+SheriffCostsFromBid-(F24)*(1-RTTPurchase)))))+Underwriting!$S23)/(Underwriting!$M23/12),0))</f>
        <v/>
      </c>
      <c r="I24" s="32" t="str">
        <f aca="false">IF(Underwriting!$A23="","",IFERROR(Underwriting!$Z23/(((F24)*(1+BuyerPremium)+IF(N(Deals!S23)=0,0,MIN(N(Deals!S23),MAX(0,N(Deals!S23)+SheriffCostsFromBid-(F24)*(1-RTTPurchase)))))+Underwriting!$AA23),0))</f>
        <v/>
      </c>
      <c r="J24" s="31" t="str">
        <f aca="false">IF(Underwriting!$A23="","",ROUND(J$2*$C24,-3))</f>
        <v/>
      </c>
      <c r="K24" s="31" t="str">
        <f aca="false">IF(Underwriting!$A23="","",Underwriting!$T23-((J24)*(1+BuyerPremium)+IF(N(Deals!S23)=0,0,MIN(N(Deals!S23),MAX(0,N(Deals!S23)+SheriffCostsFromBid-(J24)*(1-RTTPurchase))))))</f>
        <v/>
      </c>
      <c r="L24" s="32" t="str">
        <f aca="false">IF(Underwriting!$A23="","",IFERROR(K24/(((J24)*(1+BuyerPremium)+IF(N(Deals!S23)=0,0,MIN(N(Deals!S23),MAX(0,N(Deals!S23)+SheriffCostsFromBid-(J24)*(1-RTTPurchase)))))+Underwriting!$S23)/(Underwriting!$M23/12),0))</f>
        <v/>
      </c>
      <c r="M24" s="32" t="str">
        <f aca="false">IF(Underwriting!$A23="","",IFERROR(Underwriting!$Z23/(((J24)*(1+BuyerPremium)+IF(N(Deals!S23)=0,0,MIN(N(Deals!S23),MAX(0,N(Deals!S23)+SheriffCostsFromBid-(J24)*(1-RTTPurchase)))))+Underwriting!$AA23),0))</f>
        <v/>
      </c>
      <c r="N24" s="31" t="str">
        <f aca="false">IF(Underwriting!$A23="","",ROUND(N$2*$C24,-3))</f>
        <v/>
      </c>
      <c r="O24" s="31" t="str">
        <f aca="false">IF(Underwriting!$A23="","",Underwriting!$T23-((N24)*(1+BuyerPremium)+IF(N(Deals!S23)=0,0,MIN(N(Deals!S23),MAX(0,N(Deals!S23)+SheriffCostsFromBid-(N24)*(1-RTTPurchase))))))</f>
        <v/>
      </c>
      <c r="P24" s="32" t="str">
        <f aca="false">IF(Underwriting!$A23="","",IFERROR(O24/(((N24)*(1+BuyerPremium)+IF(N(Deals!S23)=0,0,MIN(N(Deals!S23),MAX(0,N(Deals!S23)+SheriffCostsFromBid-(N24)*(1-RTTPurchase)))))+Underwriting!$S23)/(Underwriting!$M23/12),0))</f>
        <v/>
      </c>
      <c r="Q24" s="32" t="str">
        <f aca="false">IF(Underwriting!$A23="","",IFERROR(Underwriting!$Z23/(((N24)*(1+BuyerPremium)+IF(N(Deals!S23)=0,0,MIN(N(Deals!S23),MAX(0,N(Deals!S23)+SheriffCostsFromBid-(N24)*(1-RTTPurchase)))))+Underwriting!$AA23),0))</f>
        <v/>
      </c>
      <c r="R24" s="31" t="str">
        <f aca="false">IF(Underwriting!$A23="","",ROUND(R$2*$C24,-3))</f>
        <v/>
      </c>
      <c r="S24" s="31" t="str">
        <f aca="false">IF(Underwriting!$A23="","",Underwriting!$T23-((R24)*(1+BuyerPremium)+IF(N(Deals!S23)=0,0,MIN(N(Deals!S23),MAX(0,N(Deals!S23)+SheriffCostsFromBid-(R24)*(1-RTTPurchase))))))</f>
        <v/>
      </c>
      <c r="T24" s="32" t="str">
        <f aca="false">IF(Underwriting!$A23="","",IFERROR(S24/(((R24)*(1+BuyerPremium)+IF(N(Deals!S23)=0,0,MIN(N(Deals!S23),MAX(0,N(Deals!S23)+SheriffCostsFromBid-(R24)*(1-RTTPurchase)))))+Underwriting!$S23)/(Underwriting!$M23/12),0))</f>
        <v/>
      </c>
      <c r="U24" s="32" t="str">
        <f aca="false">IF(Underwriting!$A23="","",IFERROR(Underwriting!$Z23/(((R24)*(1+BuyerPremium)+IF(N(Deals!S23)=0,0,MIN(N(Deals!S23),MAX(0,N(Deals!S23)+SheriffCostsFromBid-(R24)*(1-RTTPurchase)))))+Underwriting!$AA23),0))</f>
        <v/>
      </c>
      <c r="V24" s="31" t="str">
        <f aca="false">IF(Underwriting!$A23="","",ROUND(V$2*$C24,-3))</f>
        <v/>
      </c>
      <c r="W24" s="31" t="str">
        <f aca="false">IF(Underwriting!$A23="","",Underwriting!$T23-((V24)*(1+BuyerPremium)+IF(N(Deals!S23)=0,0,MIN(N(Deals!S23),MAX(0,N(Deals!S23)+SheriffCostsFromBid-(V24)*(1-RTTPurchase))))))</f>
        <v/>
      </c>
      <c r="X24" s="32" t="str">
        <f aca="false">IF(Underwriting!$A23="","",IFERROR(W24/(((V24)*(1+BuyerPremium)+IF(N(Deals!S23)=0,0,MIN(N(Deals!S23),MAX(0,N(Deals!S23)+SheriffCostsFromBid-(V24)*(1-RTTPurchase)))))+Underwriting!$S23)/(Underwriting!$M23/12),0))</f>
        <v/>
      </c>
      <c r="Y24" s="32" t="str">
        <f aca="false">IF(Underwriting!$A23="","",IFERROR(Underwriting!$Z23/(((V24)*(1+BuyerPremium)+IF(N(Deals!S23)=0,0,MIN(N(Deals!S23),MAX(0,N(Deals!S23)+SheriffCostsFromBid-(V24)*(1-RTTPurchase)))))+Underwriting!$AA23),0))</f>
        <v/>
      </c>
      <c r="Z24" s="31" t="str">
        <f aca="false">IF(Underwriting!$A23="","",ROUND(Z$2*$C24,-3))</f>
        <v/>
      </c>
      <c r="AA24" s="31" t="str">
        <f aca="false">IF(Underwriting!$A23="","",Underwriting!$T23-((Z24)*(1+BuyerPremium)+IF(N(Deals!S23)=0,0,MIN(N(Deals!S23),MAX(0,N(Deals!S23)+SheriffCostsFromBid-(Z24)*(1-RTTPurchase))))))</f>
        <v/>
      </c>
      <c r="AB24" s="32" t="str">
        <f aca="false">IF(Underwriting!$A23="","",IFERROR(AA24/(((Z24)*(1+BuyerPremium)+IF(N(Deals!S23)=0,0,MIN(N(Deals!S23),MAX(0,N(Deals!S23)+SheriffCostsFromBid-(Z24)*(1-RTTPurchase)))))+Underwriting!$S23)/(Underwriting!$M23/12),0))</f>
        <v/>
      </c>
      <c r="AC24" s="32" t="str">
        <f aca="false">IF(Underwriting!$A23="","",IFERROR(Underwriting!$Z23/(((Z24)*(1+BuyerPremium)+IF(N(Deals!S23)=0,0,MIN(N(Deals!S23),MAX(0,N(Deals!S23)+SheriffCostsFromBid-(Z24)*(1-RTTPurchase)))))+Underwriting!$AA23),0))</f>
        <v/>
      </c>
      <c r="AD24" s="31" t="str">
        <f aca="false">IF(Underwriting!$A23="","",ROUND(AD$2*$C24,-3))</f>
        <v/>
      </c>
      <c r="AE24" s="31" t="str">
        <f aca="false">IF(Underwriting!$A23="","",Underwriting!$T23-((AD24)*(1+BuyerPremium)+IF(N(Deals!S23)=0,0,MIN(N(Deals!S23),MAX(0,N(Deals!S23)+SheriffCostsFromBid-(AD24)*(1-RTTPurchase))))))</f>
        <v/>
      </c>
      <c r="AF24" s="32" t="str">
        <f aca="false">IF(Underwriting!$A23="","",IFERROR(AE24/(((AD24)*(1+BuyerPremium)+IF(N(Deals!S23)=0,0,MIN(N(Deals!S23),MAX(0,N(Deals!S23)+SheriffCostsFromBid-(AD24)*(1-RTTPurchase)))))+Underwriting!$S23)/(Underwriting!$M23/12),0))</f>
        <v/>
      </c>
      <c r="AG24" s="32" t="str">
        <f aca="false">IF(Underwriting!$A23="","",IFERROR(Underwriting!$Z23/(((AD24)*(1+BuyerPremium)+IF(N(Deals!S23)=0,0,MIN(N(Deals!S23),MAX(0,N(Deals!S23)+SheriffCostsFromBid-(AD24)*(1-RTTPurchase)))))+Underwriting!$AA23),0))</f>
        <v/>
      </c>
      <c r="AH24" s="31" t="str">
        <f aca="false">IF(Underwriting!$A23="","",$E24)</f>
        <v/>
      </c>
      <c r="AI24" s="31" t="str">
        <f aca="false">IF(Underwriting!$A23="","",Underwriting!$T23-((AH24)*(1+BuyerPremium)+IF(N(Deals!S23)=0,0,MIN(N(Deals!S23),MAX(0,N(Deals!S23)+SheriffCostsFromBid-(AH24)*(1-RTTPurchase))))))</f>
        <v/>
      </c>
      <c r="AJ24" s="32" t="str">
        <f aca="false">IF(Underwriting!$A23="","",IFERROR(AI24/(((AH24)*(1+BuyerPremium)+IF(N(Deals!S23)=0,0,MIN(N(Deals!S23),MAX(0,N(Deals!S23)+SheriffCostsFromBid-(AH24)*(1-RTTPurchase)))))+Underwriting!$S23)/(Underwriting!$M23/12),0))</f>
        <v/>
      </c>
      <c r="AK24" s="32" t="str">
        <f aca="false">IF(Underwriting!$A23="","",IFERROR(Underwriting!$Z23/(((AH24)*(1+BuyerPremium)+IF(N(Deals!S23)=0,0,MIN(N(Deals!S23),MAX(0,N(Deals!S23)+SheriffCostsFromBid-(AH24)*(1-RTTPurchase)))))+Underwriting!$AA23),0))</f>
        <v/>
      </c>
    </row>
    <row r="25" customFormat="false" ht="15" hidden="false" customHeight="true" outlineLevel="0" collapsed="false">
      <c r="A25" s="1" t="str">
        <f aca="false">Underwriting!$A24</f>
        <v/>
      </c>
      <c r="B25" s="1" t="str">
        <f aca="false">Underwriting!$B24</f>
        <v/>
      </c>
      <c r="C25" s="31" t="str">
        <f aca="false">IF(Underwriting!$A24="","",N(Deals!M24))</f>
        <v/>
      </c>
      <c r="D25" s="31" t="str">
        <f aca="false">IF(Underwriting!$A24="","",N(Deals!D24))</f>
        <v/>
      </c>
      <c r="E25" s="31" t="str">
        <f aca="false">IF(Underwriting!$A24="","",Underwriting!$D24)</f>
        <v/>
      </c>
      <c r="F25" s="31" t="str">
        <f aca="false">IF(Underwriting!$A24="","",$D25)</f>
        <v/>
      </c>
      <c r="G25" s="31" t="str">
        <f aca="false">IF(Underwriting!$A24="","",Underwriting!$T24-((F25)*(1+BuyerPremium)+IF(N(Deals!S24)=0,0,MIN(N(Deals!S24),MAX(0,N(Deals!S24)+SheriffCostsFromBid-(F25)*(1-RTTPurchase))))))</f>
        <v/>
      </c>
      <c r="H25" s="32" t="str">
        <f aca="false">IF(Underwriting!$A24="","",IFERROR(G25/(((F25)*(1+BuyerPremium)+IF(N(Deals!S24)=0,0,MIN(N(Deals!S24),MAX(0,N(Deals!S24)+SheriffCostsFromBid-(F25)*(1-RTTPurchase)))))+Underwriting!$S24)/(Underwriting!$M24/12),0))</f>
        <v/>
      </c>
      <c r="I25" s="32" t="str">
        <f aca="false">IF(Underwriting!$A24="","",IFERROR(Underwriting!$Z24/(((F25)*(1+BuyerPremium)+IF(N(Deals!S24)=0,0,MIN(N(Deals!S24),MAX(0,N(Deals!S24)+SheriffCostsFromBid-(F25)*(1-RTTPurchase)))))+Underwriting!$AA24),0))</f>
        <v/>
      </c>
      <c r="J25" s="31" t="str">
        <f aca="false">IF(Underwriting!$A24="","",ROUND(J$2*$C25,-3))</f>
        <v/>
      </c>
      <c r="K25" s="31" t="str">
        <f aca="false">IF(Underwriting!$A24="","",Underwriting!$T24-((J25)*(1+BuyerPremium)+IF(N(Deals!S24)=0,0,MIN(N(Deals!S24),MAX(0,N(Deals!S24)+SheriffCostsFromBid-(J25)*(1-RTTPurchase))))))</f>
        <v/>
      </c>
      <c r="L25" s="32" t="str">
        <f aca="false">IF(Underwriting!$A24="","",IFERROR(K25/(((J25)*(1+BuyerPremium)+IF(N(Deals!S24)=0,0,MIN(N(Deals!S24),MAX(0,N(Deals!S24)+SheriffCostsFromBid-(J25)*(1-RTTPurchase)))))+Underwriting!$S24)/(Underwriting!$M24/12),0))</f>
        <v/>
      </c>
      <c r="M25" s="32" t="str">
        <f aca="false">IF(Underwriting!$A24="","",IFERROR(Underwriting!$Z24/(((J25)*(1+BuyerPremium)+IF(N(Deals!S24)=0,0,MIN(N(Deals!S24),MAX(0,N(Deals!S24)+SheriffCostsFromBid-(J25)*(1-RTTPurchase)))))+Underwriting!$AA24),0))</f>
        <v/>
      </c>
      <c r="N25" s="31" t="str">
        <f aca="false">IF(Underwriting!$A24="","",ROUND(N$2*$C25,-3))</f>
        <v/>
      </c>
      <c r="O25" s="31" t="str">
        <f aca="false">IF(Underwriting!$A24="","",Underwriting!$T24-((N25)*(1+BuyerPremium)+IF(N(Deals!S24)=0,0,MIN(N(Deals!S24),MAX(0,N(Deals!S24)+SheriffCostsFromBid-(N25)*(1-RTTPurchase))))))</f>
        <v/>
      </c>
      <c r="P25" s="32" t="str">
        <f aca="false">IF(Underwriting!$A24="","",IFERROR(O25/(((N25)*(1+BuyerPremium)+IF(N(Deals!S24)=0,0,MIN(N(Deals!S24),MAX(0,N(Deals!S24)+SheriffCostsFromBid-(N25)*(1-RTTPurchase)))))+Underwriting!$S24)/(Underwriting!$M24/12),0))</f>
        <v/>
      </c>
      <c r="Q25" s="32" t="str">
        <f aca="false">IF(Underwriting!$A24="","",IFERROR(Underwriting!$Z24/(((N25)*(1+BuyerPremium)+IF(N(Deals!S24)=0,0,MIN(N(Deals!S24),MAX(0,N(Deals!S24)+SheriffCostsFromBid-(N25)*(1-RTTPurchase)))))+Underwriting!$AA24),0))</f>
        <v/>
      </c>
      <c r="R25" s="31" t="str">
        <f aca="false">IF(Underwriting!$A24="","",ROUND(R$2*$C25,-3))</f>
        <v/>
      </c>
      <c r="S25" s="31" t="str">
        <f aca="false">IF(Underwriting!$A24="","",Underwriting!$T24-((R25)*(1+BuyerPremium)+IF(N(Deals!S24)=0,0,MIN(N(Deals!S24),MAX(0,N(Deals!S24)+SheriffCostsFromBid-(R25)*(1-RTTPurchase))))))</f>
        <v/>
      </c>
      <c r="T25" s="32" t="str">
        <f aca="false">IF(Underwriting!$A24="","",IFERROR(S25/(((R25)*(1+BuyerPremium)+IF(N(Deals!S24)=0,0,MIN(N(Deals!S24),MAX(0,N(Deals!S24)+SheriffCostsFromBid-(R25)*(1-RTTPurchase)))))+Underwriting!$S24)/(Underwriting!$M24/12),0))</f>
        <v/>
      </c>
      <c r="U25" s="32" t="str">
        <f aca="false">IF(Underwriting!$A24="","",IFERROR(Underwriting!$Z24/(((R25)*(1+BuyerPremium)+IF(N(Deals!S24)=0,0,MIN(N(Deals!S24),MAX(0,N(Deals!S24)+SheriffCostsFromBid-(R25)*(1-RTTPurchase)))))+Underwriting!$AA24),0))</f>
        <v/>
      </c>
      <c r="V25" s="31" t="str">
        <f aca="false">IF(Underwriting!$A24="","",ROUND(V$2*$C25,-3))</f>
        <v/>
      </c>
      <c r="W25" s="31" t="str">
        <f aca="false">IF(Underwriting!$A24="","",Underwriting!$T24-((V25)*(1+BuyerPremium)+IF(N(Deals!S24)=0,0,MIN(N(Deals!S24),MAX(0,N(Deals!S24)+SheriffCostsFromBid-(V25)*(1-RTTPurchase))))))</f>
        <v/>
      </c>
      <c r="X25" s="32" t="str">
        <f aca="false">IF(Underwriting!$A24="","",IFERROR(W25/(((V25)*(1+BuyerPremium)+IF(N(Deals!S24)=0,0,MIN(N(Deals!S24),MAX(0,N(Deals!S24)+SheriffCostsFromBid-(V25)*(1-RTTPurchase)))))+Underwriting!$S24)/(Underwriting!$M24/12),0))</f>
        <v/>
      </c>
      <c r="Y25" s="32" t="str">
        <f aca="false">IF(Underwriting!$A24="","",IFERROR(Underwriting!$Z24/(((V25)*(1+BuyerPremium)+IF(N(Deals!S24)=0,0,MIN(N(Deals!S24),MAX(0,N(Deals!S24)+SheriffCostsFromBid-(V25)*(1-RTTPurchase)))))+Underwriting!$AA24),0))</f>
        <v/>
      </c>
      <c r="Z25" s="31" t="str">
        <f aca="false">IF(Underwriting!$A24="","",ROUND(Z$2*$C25,-3))</f>
        <v/>
      </c>
      <c r="AA25" s="31" t="str">
        <f aca="false">IF(Underwriting!$A24="","",Underwriting!$T24-((Z25)*(1+BuyerPremium)+IF(N(Deals!S24)=0,0,MIN(N(Deals!S24),MAX(0,N(Deals!S24)+SheriffCostsFromBid-(Z25)*(1-RTTPurchase))))))</f>
        <v/>
      </c>
      <c r="AB25" s="32" t="str">
        <f aca="false">IF(Underwriting!$A24="","",IFERROR(AA25/(((Z25)*(1+BuyerPremium)+IF(N(Deals!S24)=0,0,MIN(N(Deals!S24),MAX(0,N(Deals!S24)+SheriffCostsFromBid-(Z25)*(1-RTTPurchase)))))+Underwriting!$S24)/(Underwriting!$M24/12),0))</f>
        <v/>
      </c>
      <c r="AC25" s="32" t="str">
        <f aca="false">IF(Underwriting!$A24="","",IFERROR(Underwriting!$Z24/(((Z25)*(1+BuyerPremium)+IF(N(Deals!S24)=0,0,MIN(N(Deals!S24),MAX(0,N(Deals!S24)+SheriffCostsFromBid-(Z25)*(1-RTTPurchase)))))+Underwriting!$AA24),0))</f>
        <v/>
      </c>
      <c r="AD25" s="31" t="str">
        <f aca="false">IF(Underwriting!$A24="","",ROUND(AD$2*$C25,-3))</f>
        <v/>
      </c>
      <c r="AE25" s="31" t="str">
        <f aca="false">IF(Underwriting!$A24="","",Underwriting!$T24-((AD25)*(1+BuyerPremium)+IF(N(Deals!S24)=0,0,MIN(N(Deals!S24),MAX(0,N(Deals!S24)+SheriffCostsFromBid-(AD25)*(1-RTTPurchase))))))</f>
        <v/>
      </c>
      <c r="AF25" s="32" t="str">
        <f aca="false">IF(Underwriting!$A24="","",IFERROR(AE25/(((AD25)*(1+BuyerPremium)+IF(N(Deals!S24)=0,0,MIN(N(Deals!S24),MAX(0,N(Deals!S24)+SheriffCostsFromBid-(AD25)*(1-RTTPurchase)))))+Underwriting!$S24)/(Underwriting!$M24/12),0))</f>
        <v/>
      </c>
      <c r="AG25" s="32" t="str">
        <f aca="false">IF(Underwriting!$A24="","",IFERROR(Underwriting!$Z24/(((AD25)*(1+BuyerPremium)+IF(N(Deals!S24)=0,0,MIN(N(Deals!S24),MAX(0,N(Deals!S24)+SheriffCostsFromBid-(AD25)*(1-RTTPurchase)))))+Underwriting!$AA24),0))</f>
        <v/>
      </c>
      <c r="AH25" s="31" t="str">
        <f aca="false">IF(Underwriting!$A24="","",$E25)</f>
        <v/>
      </c>
      <c r="AI25" s="31" t="str">
        <f aca="false">IF(Underwriting!$A24="","",Underwriting!$T24-((AH25)*(1+BuyerPremium)+IF(N(Deals!S24)=0,0,MIN(N(Deals!S24),MAX(0,N(Deals!S24)+SheriffCostsFromBid-(AH25)*(1-RTTPurchase))))))</f>
        <v/>
      </c>
      <c r="AJ25" s="32" t="str">
        <f aca="false">IF(Underwriting!$A24="","",IFERROR(AI25/(((AH25)*(1+BuyerPremium)+IF(N(Deals!S24)=0,0,MIN(N(Deals!S24),MAX(0,N(Deals!S24)+SheriffCostsFromBid-(AH25)*(1-RTTPurchase)))))+Underwriting!$S24)/(Underwriting!$M24/12),0))</f>
        <v/>
      </c>
      <c r="AK25" s="32" t="str">
        <f aca="false">IF(Underwriting!$A24="","",IFERROR(Underwriting!$Z24/(((AH25)*(1+BuyerPremium)+IF(N(Deals!S24)=0,0,MIN(N(Deals!S24),MAX(0,N(Deals!S24)+SheriffCostsFromBid-(AH25)*(1-RTTPurchase)))))+Underwriting!$AA24),0))</f>
        <v/>
      </c>
    </row>
    <row r="26" customFormat="false" ht="15" hidden="false" customHeight="true" outlineLevel="0" collapsed="false">
      <c r="A26" s="1" t="str">
        <f aca="false">Underwriting!$A25</f>
        <v/>
      </c>
      <c r="B26" s="1" t="str">
        <f aca="false">Underwriting!$B25</f>
        <v/>
      </c>
      <c r="C26" s="31" t="str">
        <f aca="false">IF(Underwriting!$A25="","",N(Deals!M25))</f>
        <v/>
      </c>
      <c r="D26" s="31" t="str">
        <f aca="false">IF(Underwriting!$A25="","",N(Deals!D25))</f>
        <v/>
      </c>
      <c r="E26" s="31" t="str">
        <f aca="false">IF(Underwriting!$A25="","",Underwriting!$D25)</f>
        <v/>
      </c>
      <c r="F26" s="31" t="str">
        <f aca="false">IF(Underwriting!$A25="","",$D26)</f>
        <v/>
      </c>
      <c r="G26" s="31" t="str">
        <f aca="false">IF(Underwriting!$A25="","",Underwriting!$T25-((F26)*(1+BuyerPremium)+IF(N(Deals!S25)=0,0,MIN(N(Deals!S25),MAX(0,N(Deals!S25)+SheriffCostsFromBid-(F26)*(1-RTTPurchase))))))</f>
        <v/>
      </c>
      <c r="H26" s="32" t="str">
        <f aca="false">IF(Underwriting!$A25="","",IFERROR(G26/(((F26)*(1+BuyerPremium)+IF(N(Deals!S25)=0,0,MIN(N(Deals!S25),MAX(0,N(Deals!S25)+SheriffCostsFromBid-(F26)*(1-RTTPurchase)))))+Underwriting!$S25)/(Underwriting!$M25/12),0))</f>
        <v/>
      </c>
      <c r="I26" s="32" t="str">
        <f aca="false">IF(Underwriting!$A25="","",IFERROR(Underwriting!$Z25/(((F26)*(1+BuyerPremium)+IF(N(Deals!S25)=0,0,MIN(N(Deals!S25),MAX(0,N(Deals!S25)+SheriffCostsFromBid-(F26)*(1-RTTPurchase)))))+Underwriting!$AA25),0))</f>
        <v/>
      </c>
      <c r="J26" s="31" t="str">
        <f aca="false">IF(Underwriting!$A25="","",ROUND(J$2*$C26,-3))</f>
        <v/>
      </c>
      <c r="K26" s="31" t="str">
        <f aca="false">IF(Underwriting!$A25="","",Underwriting!$T25-((J26)*(1+BuyerPremium)+IF(N(Deals!S25)=0,0,MIN(N(Deals!S25),MAX(0,N(Deals!S25)+SheriffCostsFromBid-(J26)*(1-RTTPurchase))))))</f>
        <v/>
      </c>
      <c r="L26" s="32" t="str">
        <f aca="false">IF(Underwriting!$A25="","",IFERROR(K26/(((J26)*(1+BuyerPremium)+IF(N(Deals!S25)=0,0,MIN(N(Deals!S25),MAX(0,N(Deals!S25)+SheriffCostsFromBid-(J26)*(1-RTTPurchase)))))+Underwriting!$S25)/(Underwriting!$M25/12),0))</f>
        <v/>
      </c>
      <c r="M26" s="32" t="str">
        <f aca="false">IF(Underwriting!$A25="","",IFERROR(Underwriting!$Z25/(((J26)*(1+BuyerPremium)+IF(N(Deals!S25)=0,0,MIN(N(Deals!S25),MAX(0,N(Deals!S25)+SheriffCostsFromBid-(J26)*(1-RTTPurchase)))))+Underwriting!$AA25),0))</f>
        <v/>
      </c>
      <c r="N26" s="31" t="str">
        <f aca="false">IF(Underwriting!$A25="","",ROUND(N$2*$C26,-3))</f>
        <v/>
      </c>
      <c r="O26" s="31" t="str">
        <f aca="false">IF(Underwriting!$A25="","",Underwriting!$T25-((N26)*(1+BuyerPremium)+IF(N(Deals!S25)=0,0,MIN(N(Deals!S25),MAX(0,N(Deals!S25)+SheriffCostsFromBid-(N26)*(1-RTTPurchase))))))</f>
        <v/>
      </c>
      <c r="P26" s="32" t="str">
        <f aca="false">IF(Underwriting!$A25="","",IFERROR(O26/(((N26)*(1+BuyerPremium)+IF(N(Deals!S25)=0,0,MIN(N(Deals!S25),MAX(0,N(Deals!S25)+SheriffCostsFromBid-(N26)*(1-RTTPurchase)))))+Underwriting!$S25)/(Underwriting!$M25/12),0))</f>
        <v/>
      </c>
      <c r="Q26" s="32" t="str">
        <f aca="false">IF(Underwriting!$A25="","",IFERROR(Underwriting!$Z25/(((N26)*(1+BuyerPremium)+IF(N(Deals!S25)=0,0,MIN(N(Deals!S25),MAX(0,N(Deals!S25)+SheriffCostsFromBid-(N26)*(1-RTTPurchase)))))+Underwriting!$AA25),0))</f>
        <v/>
      </c>
      <c r="R26" s="31" t="str">
        <f aca="false">IF(Underwriting!$A25="","",ROUND(R$2*$C26,-3))</f>
        <v/>
      </c>
      <c r="S26" s="31" t="str">
        <f aca="false">IF(Underwriting!$A25="","",Underwriting!$T25-((R26)*(1+BuyerPremium)+IF(N(Deals!S25)=0,0,MIN(N(Deals!S25),MAX(0,N(Deals!S25)+SheriffCostsFromBid-(R26)*(1-RTTPurchase))))))</f>
        <v/>
      </c>
      <c r="T26" s="32" t="str">
        <f aca="false">IF(Underwriting!$A25="","",IFERROR(S26/(((R26)*(1+BuyerPremium)+IF(N(Deals!S25)=0,0,MIN(N(Deals!S25),MAX(0,N(Deals!S25)+SheriffCostsFromBid-(R26)*(1-RTTPurchase)))))+Underwriting!$S25)/(Underwriting!$M25/12),0))</f>
        <v/>
      </c>
      <c r="U26" s="32" t="str">
        <f aca="false">IF(Underwriting!$A25="","",IFERROR(Underwriting!$Z25/(((R26)*(1+BuyerPremium)+IF(N(Deals!S25)=0,0,MIN(N(Deals!S25),MAX(0,N(Deals!S25)+SheriffCostsFromBid-(R26)*(1-RTTPurchase)))))+Underwriting!$AA25),0))</f>
        <v/>
      </c>
      <c r="V26" s="31" t="str">
        <f aca="false">IF(Underwriting!$A25="","",ROUND(V$2*$C26,-3))</f>
        <v/>
      </c>
      <c r="W26" s="31" t="str">
        <f aca="false">IF(Underwriting!$A25="","",Underwriting!$T25-((V26)*(1+BuyerPremium)+IF(N(Deals!S25)=0,0,MIN(N(Deals!S25),MAX(0,N(Deals!S25)+SheriffCostsFromBid-(V26)*(1-RTTPurchase))))))</f>
        <v/>
      </c>
      <c r="X26" s="32" t="str">
        <f aca="false">IF(Underwriting!$A25="","",IFERROR(W26/(((V26)*(1+BuyerPremium)+IF(N(Deals!S25)=0,0,MIN(N(Deals!S25),MAX(0,N(Deals!S25)+SheriffCostsFromBid-(V26)*(1-RTTPurchase)))))+Underwriting!$S25)/(Underwriting!$M25/12),0))</f>
        <v/>
      </c>
      <c r="Y26" s="32" t="str">
        <f aca="false">IF(Underwriting!$A25="","",IFERROR(Underwriting!$Z25/(((V26)*(1+BuyerPremium)+IF(N(Deals!S25)=0,0,MIN(N(Deals!S25),MAX(0,N(Deals!S25)+SheriffCostsFromBid-(V26)*(1-RTTPurchase)))))+Underwriting!$AA25),0))</f>
        <v/>
      </c>
      <c r="Z26" s="31" t="str">
        <f aca="false">IF(Underwriting!$A25="","",ROUND(Z$2*$C26,-3))</f>
        <v/>
      </c>
      <c r="AA26" s="31" t="str">
        <f aca="false">IF(Underwriting!$A25="","",Underwriting!$T25-((Z26)*(1+BuyerPremium)+IF(N(Deals!S25)=0,0,MIN(N(Deals!S25),MAX(0,N(Deals!S25)+SheriffCostsFromBid-(Z26)*(1-RTTPurchase))))))</f>
        <v/>
      </c>
      <c r="AB26" s="32" t="str">
        <f aca="false">IF(Underwriting!$A25="","",IFERROR(AA26/(((Z26)*(1+BuyerPremium)+IF(N(Deals!S25)=0,0,MIN(N(Deals!S25),MAX(0,N(Deals!S25)+SheriffCostsFromBid-(Z26)*(1-RTTPurchase)))))+Underwriting!$S25)/(Underwriting!$M25/12),0))</f>
        <v/>
      </c>
      <c r="AC26" s="32" t="str">
        <f aca="false">IF(Underwriting!$A25="","",IFERROR(Underwriting!$Z25/(((Z26)*(1+BuyerPremium)+IF(N(Deals!S25)=0,0,MIN(N(Deals!S25),MAX(0,N(Deals!S25)+SheriffCostsFromBid-(Z26)*(1-RTTPurchase)))))+Underwriting!$AA25),0))</f>
        <v/>
      </c>
      <c r="AD26" s="31" t="str">
        <f aca="false">IF(Underwriting!$A25="","",ROUND(AD$2*$C26,-3))</f>
        <v/>
      </c>
      <c r="AE26" s="31" t="str">
        <f aca="false">IF(Underwriting!$A25="","",Underwriting!$T25-((AD26)*(1+BuyerPremium)+IF(N(Deals!S25)=0,0,MIN(N(Deals!S25),MAX(0,N(Deals!S25)+SheriffCostsFromBid-(AD26)*(1-RTTPurchase))))))</f>
        <v/>
      </c>
      <c r="AF26" s="32" t="str">
        <f aca="false">IF(Underwriting!$A25="","",IFERROR(AE26/(((AD26)*(1+BuyerPremium)+IF(N(Deals!S25)=0,0,MIN(N(Deals!S25),MAX(0,N(Deals!S25)+SheriffCostsFromBid-(AD26)*(1-RTTPurchase)))))+Underwriting!$S25)/(Underwriting!$M25/12),0))</f>
        <v/>
      </c>
      <c r="AG26" s="32" t="str">
        <f aca="false">IF(Underwriting!$A25="","",IFERROR(Underwriting!$Z25/(((AD26)*(1+BuyerPremium)+IF(N(Deals!S25)=0,0,MIN(N(Deals!S25),MAX(0,N(Deals!S25)+SheriffCostsFromBid-(AD26)*(1-RTTPurchase)))))+Underwriting!$AA25),0))</f>
        <v/>
      </c>
      <c r="AH26" s="31" t="str">
        <f aca="false">IF(Underwriting!$A25="","",$E26)</f>
        <v/>
      </c>
      <c r="AI26" s="31" t="str">
        <f aca="false">IF(Underwriting!$A25="","",Underwriting!$T25-((AH26)*(1+BuyerPremium)+IF(N(Deals!S25)=0,0,MIN(N(Deals!S25),MAX(0,N(Deals!S25)+SheriffCostsFromBid-(AH26)*(1-RTTPurchase))))))</f>
        <v/>
      </c>
      <c r="AJ26" s="32" t="str">
        <f aca="false">IF(Underwriting!$A25="","",IFERROR(AI26/(((AH26)*(1+BuyerPremium)+IF(N(Deals!S25)=0,0,MIN(N(Deals!S25),MAX(0,N(Deals!S25)+SheriffCostsFromBid-(AH26)*(1-RTTPurchase)))))+Underwriting!$S25)/(Underwriting!$M25/12),0))</f>
        <v/>
      </c>
      <c r="AK26" s="32" t="str">
        <f aca="false">IF(Underwriting!$A25="","",IFERROR(Underwriting!$Z25/(((AH26)*(1+BuyerPremium)+IF(N(Deals!S25)=0,0,MIN(N(Deals!S25),MAX(0,N(Deals!S25)+SheriffCostsFromBid-(AH26)*(1-RTTPurchase)))))+Underwriting!$AA25),0))</f>
        <v/>
      </c>
    </row>
    <row r="27" customFormat="false" ht="15" hidden="false" customHeight="true" outlineLevel="0" collapsed="false">
      <c r="A27" s="1" t="str">
        <f aca="false">Underwriting!$A26</f>
        <v/>
      </c>
      <c r="B27" s="1" t="str">
        <f aca="false">Underwriting!$B26</f>
        <v/>
      </c>
      <c r="C27" s="31" t="str">
        <f aca="false">IF(Underwriting!$A26="","",N(Deals!M26))</f>
        <v/>
      </c>
      <c r="D27" s="31" t="str">
        <f aca="false">IF(Underwriting!$A26="","",N(Deals!D26))</f>
        <v/>
      </c>
      <c r="E27" s="31" t="str">
        <f aca="false">IF(Underwriting!$A26="","",Underwriting!$D26)</f>
        <v/>
      </c>
      <c r="F27" s="31" t="str">
        <f aca="false">IF(Underwriting!$A26="","",$D27)</f>
        <v/>
      </c>
      <c r="G27" s="31" t="str">
        <f aca="false">IF(Underwriting!$A26="","",Underwriting!$T26-((F27)*(1+BuyerPremium)+IF(N(Deals!S26)=0,0,MIN(N(Deals!S26),MAX(0,N(Deals!S26)+SheriffCostsFromBid-(F27)*(1-RTTPurchase))))))</f>
        <v/>
      </c>
      <c r="H27" s="32" t="str">
        <f aca="false">IF(Underwriting!$A26="","",IFERROR(G27/(((F27)*(1+BuyerPremium)+IF(N(Deals!S26)=0,0,MIN(N(Deals!S26),MAX(0,N(Deals!S26)+SheriffCostsFromBid-(F27)*(1-RTTPurchase)))))+Underwriting!$S26)/(Underwriting!$M26/12),0))</f>
        <v/>
      </c>
      <c r="I27" s="32" t="str">
        <f aca="false">IF(Underwriting!$A26="","",IFERROR(Underwriting!$Z26/(((F27)*(1+BuyerPremium)+IF(N(Deals!S26)=0,0,MIN(N(Deals!S26),MAX(0,N(Deals!S26)+SheriffCostsFromBid-(F27)*(1-RTTPurchase)))))+Underwriting!$AA26),0))</f>
        <v/>
      </c>
      <c r="J27" s="31" t="str">
        <f aca="false">IF(Underwriting!$A26="","",ROUND(J$2*$C27,-3))</f>
        <v/>
      </c>
      <c r="K27" s="31" t="str">
        <f aca="false">IF(Underwriting!$A26="","",Underwriting!$T26-((J27)*(1+BuyerPremium)+IF(N(Deals!S26)=0,0,MIN(N(Deals!S26),MAX(0,N(Deals!S26)+SheriffCostsFromBid-(J27)*(1-RTTPurchase))))))</f>
        <v/>
      </c>
      <c r="L27" s="32" t="str">
        <f aca="false">IF(Underwriting!$A26="","",IFERROR(K27/(((J27)*(1+BuyerPremium)+IF(N(Deals!S26)=0,0,MIN(N(Deals!S26),MAX(0,N(Deals!S26)+SheriffCostsFromBid-(J27)*(1-RTTPurchase)))))+Underwriting!$S26)/(Underwriting!$M26/12),0))</f>
        <v/>
      </c>
      <c r="M27" s="32" t="str">
        <f aca="false">IF(Underwriting!$A26="","",IFERROR(Underwriting!$Z26/(((J27)*(1+BuyerPremium)+IF(N(Deals!S26)=0,0,MIN(N(Deals!S26),MAX(0,N(Deals!S26)+SheriffCostsFromBid-(J27)*(1-RTTPurchase)))))+Underwriting!$AA26),0))</f>
        <v/>
      </c>
      <c r="N27" s="31" t="str">
        <f aca="false">IF(Underwriting!$A26="","",ROUND(N$2*$C27,-3))</f>
        <v/>
      </c>
      <c r="O27" s="31" t="str">
        <f aca="false">IF(Underwriting!$A26="","",Underwriting!$T26-((N27)*(1+BuyerPremium)+IF(N(Deals!S26)=0,0,MIN(N(Deals!S26),MAX(0,N(Deals!S26)+SheriffCostsFromBid-(N27)*(1-RTTPurchase))))))</f>
        <v/>
      </c>
      <c r="P27" s="32" t="str">
        <f aca="false">IF(Underwriting!$A26="","",IFERROR(O27/(((N27)*(1+BuyerPremium)+IF(N(Deals!S26)=0,0,MIN(N(Deals!S26),MAX(0,N(Deals!S26)+SheriffCostsFromBid-(N27)*(1-RTTPurchase)))))+Underwriting!$S26)/(Underwriting!$M26/12),0))</f>
        <v/>
      </c>
      <c r="Q27" s="32" t="str">
        <f aca="false">IF(Underwriting!$A26="","",IFERROR(Underwriting!$Z26/(((N27)*(1+BuyerPremium)+IF(N(Deals!S26)=0,0,MIN(N(Deals!S26),MAX(0,N(Deals!S26)+SheriffCostsFromBid-(N27)*(1-RTTPurchase)))))+Underwriting!$AA26),0))</f>
        <v/>
      </c>
      <c r="R27" s="31" t="str">
        <f aca="false">IF(Underwriting!$A26="","",ROUND(R$2*$C27,-3))</f>
        <v/>
      </c>
      <c r="S27" s="31" t="str">
        <f aca="false">IF(Underwriting!$A26="","",Underwriting!$T26-((R27)*(1+BuyerPremium)+IF(N(Deals!S26)=0,0,MIN(N(Deals!S26),MAX(0,N(Deals!S26)+SheriffCostsFromBid-(R27)*(1-RTTPurchase))))))</f>
        <v/>
      </c>
      <c r="T27" s="32" t="str">
        <f aca="false">IF(Underwriting!$A26="","",IFERROR(S27/(((R27)*(1+BuyerPremium)+IF(N(Deals!S26)=0,0,MIN(N(Deals!S26),MAX(0,N(Deals!S26)+SheriffCostsFromBid-(R27)*(1-RTTPurchase)))))+Underwriting!$S26)/(Underwriting!$M26/12),0))</f>
        <v/>
      </c>
      <c r="U27" s="32" t="str">
        <f aca="false">IF(Underwriting!$A26="","",IFERROR(Underwriting!$Z26/(((R27)*(1+BuyerPremium)+IF(N(Deals!S26)=0,0,MIN(N(Deals!S26),MAX(0,N(Deals!S26)+SheriffCostsFromBid-(R27)*(1-RTTPurchase)))))+Underwriting!$AA26),0))</f>
        <v/>
      </c>
      <c r="V27" s="31" t="str">
        <f aca="false">IF(Underwriting!$A26="","",ROUND(V$2*$C27,-3))</f>
        <v/>
      </c>
      <c r="W27" s="31" t="str">
        <f aca="false">IF(Underwriting!$A26="","",Underwriting!$T26-((V27)*(1+BuyerPremium)+IF(N(Deals!S26)=0,0,MIN(N(Deals!S26),MAX(0,N(Deals!S26)+SheriffCostsFromBid-(V27)*(1-RTTPurchase))))))</f>
        <v/>
      </c>
      <c r="X27" s="32" t="str">
        <f aca="false">IF(Underwriting!$A26="","",IFERROR(W27/(((V27)*(1+BuyerPremium)+IF(N(Deals!S26)=0,0,MIN(N(Deals!S26),MAX(0,N(Deals!S26)+SheriffCostsFromBid-(V27)*(1-RTTPurchase)))))+Underwriting!$S26)/(Underwriting!$M26/12),0))</f>
        <v/>
      </c>
      <c r="Y27" s="32" t="str">
        <f aca="false">IF(Underwriting!$A26="","",IFERROR(Underwriting!$Z26/(((V27)*(1+BuyerPremium)+IF(N(Deals!S26)=0,0,MIN(N(Deals!S26),MAX(0,N(Deals!S26)+SheriffCostsFromBid-(V27)*(1-RTTPurchase)))))+Underwriting!$AA26),0))</f>
        <v/>
      </c>
      <c r="Z27" s="31" t="str">
        <f aca="false">IF(Underwriting!$A26="","",ROUND(Z$2*$C27,-3))</f>
        <v/>
      </c>
      <c r="AA27" s="31" t="str">
        <f aca="false">IF(Underwriting!$A26="","",Underwriting!$T26-((Z27)*(1+BuyerPremium)+IF(N(Deals!S26)=0,0,MIN(N(Deals!S26),MAX(0,N(Deals!S26)+SheriffCostsFromBid-(Z27)*(1-RTTPurchase))))))</f>
        <v/>
      </c>
      <c r="AB27" s="32" t="str">
        <f aca="false">IF(Underwriting!$A26="","",IFERROR(AA27/(((Z27)*(1+BuyerPremium)+IF(N(Deals!S26)=0,0,MIN(N(Deals!S26),MAX(0,N(Deals!S26)+SheriffCostsFromBid-(Z27)*(1-RTTPurchase)))))+Underwriting!$S26)/(Underwriting!$M26/12),0))</f>
        <v/>
      </c>
      <c r="AC27" s="32" t="str">
        <f aca="false">IF(Underwriting!$A26="","",IFERROR(Underwriting!$Z26/(((Z27)*(1+BuyerPremium)+IF(N(Deals!S26)=0,0,MIN(N(Deals!S26),MAX(0,N(Deals!S26)+SheriffCostsFromBid-(Z27)*(1-RTTPurchase)))))+Underwriting!$AA26),0))</f>
        <v/>
      </c>
      <c r="AD27" s="31" t="str">
        <f aca="false">IF(Underwriting!$A26="","",ROUND(AD$2*$C27,-3))</f>
        <v/>
      </c>
      <c r="AE27" s="31" t="str">
        <f aca="false">IF(Underwriting!$A26="","",Underwriting!$T26-((AD27)*(1+BuyerPremium)+IF(N(Deals!S26)=0,0,MIN(N(Deals!S26),MAX(0,N(Deals!S26)+SheriffCostsFromBid-(AD27)*(1-RTTPurchase))))))</f>
        <v/>
      </c>
      <c r="AF27" s="32" t="str">
        <f aca="false">IF(Underwriting!$A26="","",IFERROR(AE27/(((AD27)*(1+BuyerPremium)+IF(N(Deals!S26)=0,0,MIN(N(Deals!S26),MAX(0,N(Deals!S26)+SheriffCostsFromBid-(AD27)*(1-RTTPurchase)))))+Underwriting!$S26)/(Underwriting!$M26/12),0))</f>
        <v/>
      </c>
      <c r="AG27" s="32" t="str">
        <f aca="false">IF(Underwriting!$A26="","",IFERROR(Underwriting!$Z26/(((AD27)*(1+BuyerPremium)+IF(N(Deals!S26)=0,0,MIN(N(Deals!S26),MAX(0,N(Deals!S26)+SheriffCostsFromBid-(AD27)*(1-RTTPurchase)))))+Underwriting!$AA26),0))</f>
        <v/>
      </c>
      <c r="AH27" s="31" t="str">
        <f aca="false">IF(Underwriting!$A26="","",$E27)</f>
        <v/>
      </c>
      <c r="AI27" s="31" t="str">
        <f aca="false">IF(Underwriting!$A26="","",Underwriting!$T26-((AH27)*(1+BuyerPremium)+IF(N(Deals!S26)=0,0,MIN(N(Deals!S26),MAX(0,N(Deals!S26)+SheriffCostsFromBid-(AH27)*(1-RTTPurchase))))))</f>
        <v/>
      </c>
      <c r="AJ27" s="32" t="str">
        <f aca="false">IF(Underwriting!$A26="","",IFERROR(AI27/(((AH27)*(1+BuyerPremium)+IF(N(Deals!S26)=0,0,MIN(N(Deals!S26),MAX(0,N(Deals!S26)+SheriffCostsFromBid-(AH27)*(1-RTTPurchase)))))+Underwriting!$S26)/(Underwriting!$M26/12),0))</f>
        <v/>
      </c>
      <c r="AK27" s="32" t="str">
        <f aca="false">IF(Underwriting!$A26="","",IFERROR(Underwriting!$Z26/(((AH27)*(1+BuyerPremium)+IF(N(Deals!S26)=0,0,MIN(N(Deals!S26),MAX(0,N(Deals!S26)+SheriffCostsFromBid-(AH27)*(1-RTTPurchase)))))+Underwriting!$AA26),0))</f>
        <v/>
      </c>
    </row>
    <row r="28" customFormat="false" ht="15" hidden="false" customHeight="true" outlineLevel="0" collapsed="false">
      <c r="A28" s="1" t="str">
        <f aca="false">Underwriting!$A27</f>
        <v/>
      </c>
      <c r="B28" s="1" t="str">
        <f aca="false">Underwriting!$B27</f>
        <v/>
      </c>
      <c r="C28" s="31" t="str">
        <f aca="false">IF(Underwriting!$A27="","",N(Deals!M27))</f>
        <v/>
      </c>
      <c r="D28" s="31" t="str">
        <f aca="false">IF(Underwriting!$A27="","",N(Deals!D27))</f>
        <v/>
      </c>
      <c r="E28" s="31" t="str">
        <f aca="false">IF(Underwriting!$A27="","",Underwriting!$D27)</f>
        <v/>
      </c>
      <c r="F28" s="31" t="str">
        <f aca="false">IF(Underwriting!$A27="","",$D28)</f>
        <v/>
      </c>
      <c r="G28" s="31" t="str">
        <f aca="false">IF(Underwriting!$A27="","",Underwriting!$T27-((F28)*(1+BuyerPremium)+IF(N(Deals!S27)=0,0,MIN(N(Deals!S27),MAX(0,N(Deals!S27)+SheriffCostsFromBid-(F28)*(1-RTTPurchase))))))</f>
        <v/>
      </c>
      <c r="H28" s="32" t="str">
        <f aca="false">IF(Underwriting!$A27="","",IFERROR(G28/(((F28)*(1+BuyerPremium)+IF(N(Deals!S27)=0,0,MIN(N(Deals!S27),MAX(0,N(Deals!S27)+SheriffCostsFromBid-(F28)*(1-RTTPurchase)))))+Underwriting!$S27)/(Underwriting!$M27/12),0))</f>
        <v/>
      </c>
      <c r="I28" s="32" t="str">
        <f aca="false">IF(Underwriting!$A27="","",IFERROR(Underwriting!$Z27/(((F28)*(1+BuyerPremium)+IF(N(Deals!S27)=0,0,MIN(N(Deals!S27),MAX(0,N(Deals!S27)+SheriffCostsFromBid-(F28)*(1-RTTPurchase)))))+Underwriting!$AA27),0))</f>
        <v/>
      </c>
      <c r="J28" s="31" t="str">
        <f aca="false">IF(Underwriting!$A27="","",ROUND(J$2*$C28,-3))</f>
        <v/>
      </c>
      <c r="K28" s="31" t="str">
        <f aca="false">IF(Underwriting!$A27="","",Underwriting!$T27-((J28)*(1+BuyerPremium)+IF(N(Deals!S27)=0,0,MIN(N(Deals!S27),MAX(0,N(Deals!S27)+SheriffCostsFromBid-(J28)*(1-RTTPurchase))))))</f>
        <v/>
      </c>
      <c r="L28" s="32" t="str">
        <f aca="false">IF(Underwriting!$A27="","",IFERROR(K28/(((J28)*(1+BuyerPremium)+IF(N(Deals!S27)=0,0,MIN(N(Deals!S27),MAX(0,N(Deals!S27)+SheriffCostsFromBid-(J28)*(1-RTTPurchase)))))+Underwriting!$S27)/(Underwriting!$M27/12),0))</f>
        <v/>
      </c>
      <c r="M28" s="32" t="str">
        <f aca="false">IF(Underwriting!$A27="","",IFERROR(Underwriting!$Z27/(((J28)*(1+BuyerPremium)+IF(N(Deals!S27)=0,0,MIN(N(Deals!S27),MAX(0,N(Deals!S27)+SheriffCostsFromBid-(J28)*(1-RTTPurchase)))))+Underwriting!$AA27),0))</f>
        <v/>
      </c>
      <c r="N28" s="31" t="str">
        <f aca="false">IF(Underwriting!$A27="","",ROUND(N$2*$C28,-3))</f>
        <v/>
      </c>
      <c r="O28" s="31" t="str">
        <f aca="false">IF(Underwriting!$A27="","",Underwriting!$T27-((N28)*(1+BuyerPremium)+IF(N(Deals!S27)=0,0,MIN(N(Deals!S27),MAX(0,N(Deals!S27)+SheriffCostsFromBid-(N28)*(1-RTTPurchase))))))</f>
        <v/>
      </c>
      <c r="P28" s="32" t="str">
        <f aca="false">IF(Underwriting!$A27="","",IFERROR(O28/(((N28)*(1+BuyerPremium)+IF(N(Deals!S27)=0,0,MIN(N(Deals!S27),MAX(0,N(Deals!S27)+SheriffCostsFromBid-(N28)*(1-RTTPurchase)))))+Underwriting!$S27)/(Underwriting!$M27/12),0))</f>
        <v/>
      </c>
      <c r="Q28" s="32" t="str">
        <f aca="false">IF(Underwriting!$A27="","",IFERROR(Underwriting!$Z27/(((N28)*(1+BuyerPremium)+IF(N(Deals!S27)=0,0,MIN(N(Deals!S27),MAX(0,N(Deals!S27)+SheriffCostsFromBid-(N28)*(1-RTTPurchase)))))+Underwriting!$AA27),0))</f>
        <v/>
      </c>
      <c r="R28" s="31" t="str">
        <f aca="false">IF(Underwriting!$A27="","",ROUND(R$2*$C28,-3))</f>
        <v/>
      </c>
      <c r="S28" s="31" t="str">
        <f aca="false">IF(Underwriting!$A27="","",Underwriting!$T27-((R28)*(1+BuyerPremium)+IF(N(Deals!S27)=0,0,MIN(N(Deals!S27),MAX(0,N(Deals!S27)+SheriffCostsFromBid-(R28)*(1-RTTPurchase))))))</f>
        <v/>
      </c>
      <c r="T28" s="32" t="str">
        <f aca="false">IF(Underwriting!$A27="","",IFERROR(S28/(((R28)*(1+BuyerPremium)+IF(N(Deals!S27)=0,0,MIN(N(Deals!S27),MAX(0,N(Deals!S27)+SheriffCostsFromBid-(R28)*(1-RTTPurchase)))))+Underwriting!$S27)/(Underwriting!$M27/12),0))</f>
        <v/>
      </c>
      <c r="U28" s="32" t="str">
        <f aca="false">IF(Underwriting!$A27="","",IFERROR(Underwriting!$Z27/(((R28)*(1+BuyerPremium)+IF(N(Deals!S27)=0,0,MIN(N(Deals!S27),MAX(0,N(Deals!S27)+SheriffCostsFromBid-(R28)*(1-RTTPurchase)))))+Underwriting!$AA27),0))</f>
        <v/>
      </c>
      <c r="V28" s="31" t="str">
        <f aca="false">IF(Underwriting!$A27="","",ROUND(V$2*$C28,-3))</f>
        <v/>
      </c>
      <c r="W28" s="31" t="str">
        <f aca="false">IF(Underwriting!$A27="","",Underwriting!$T27-((V28)*(1+BuyerPremium)+IF(N(Deals!S27)=0,0,MIN(N(Deals!S27),MAX(0,N(Deals!S27)+SheriffCostsFromBid-(V28)*(1-RTTPurchase))))))</f>
        <v/>
      </c>
      <c r="X28" s="32" t="str">
        <f aca="false">IF(Underwriting!$A27="","",IFERROR(W28/(((V28)*(1+BuyerPremium)+IF(N(Deals!S27)=0,0,MIN(N(Deals!S27),MAX(0,N(Deals!S27)+SheriffCostsFromBid-(V28)*(1-RTTPurchase)))))+Underwriting!$S27)/(Underwriting!$M27/12),0))</f>
        <v/>
      </c>
      <c r="Y28" s="32" t="str">
        <f aca="false">IF(Underwriting!$A27="","",IFERROR(Underwriting!$Z27/(((V28)*(1+BuyerPremium)+IF(N(Deals!S27)=0,0,MIN(N(Deals!S27),MAX(0,N(Deals!S27)+SheriffCostsFromBid-(V28)*(1-RTTPurchase)))))+Underwriting!$AA27),0))</f>
        <v/>
      </c>
      <c r="Z28" s="31" t="str">
        <f aca="false">IF(Underwriting!$A27="","",ROUND(Z$2*$C28,-3))</f>
        <v/>
      </c>
      <c r="AA28" s="31" t="str">
        <f aca="false">IF(Underwriting!$A27="","",Underwriting!$T27-((Z28)*(1+BuyerPremium)+IF(N(Deals!S27)=0,0,MIN(N(Deals!S27),MAX(0,N(Deals!S27)+SheriffCostsFromBid-(Z28)*(1-RTTPurchase))))))</f>
        <v/>
      </c>
      <c r="AB28" s="32" t="str">
        <f aca="false">IF(Underwriting!$A27="","",IFERROR(AA28/(((Z28)*(1+BuyerPremium)+IF(N(Deals!S27)=0,0,MIN(N(Deals!S27),MAX(0,N(Deals!S27)+SheriffCostsFromBid-(Z28)*(1-RTTPurchase)))))+Underwriting!$S27)/(Underwriting!$M27/12),0))</f>
        <v/>
      </c>
      <c r="AC28" s="32" t="str">
        <f aca="false">IF(Underwriting!$A27="","",IFERROR(Underwriting!$Z27/(((Z28)*(1+BuyerPremium)+IF(N(Deals!S27)=0,0,MIN(N(Deals!S27),MAX(0,N(Deals!S27)+SheriffCostsFromBid-(Z28)*(1-RTTPurchase)))))+Underwriting!$AA27),0))</f>
        <v/>
      </c>
      <c r="AD28" s="31" t="str">
        <f aca="false">IF(Underwriting!$A27="","",ROUND(AD$2*$C28,-3))</f>
        <v/>
      </c>
      <c r="AE28" s="31" t="str">
        <f aca="false">IF(Underwriting!$A27="","",Underwriting!$T27-((AD28)*(1+BuyerPremium)+IF(N(Deals!S27)=0,0,MIN(N(Deals!S27),MAX(0,N(Deals!S27)+SheriffCostsFromBid-(AD28)*(1-RTTPurchase))))))</f>
        <v/>
      </c>
      <c r="AF28" s="32" t="str">
        <f aca="false">IF(Underwriting!$A27="","",IFERROR(AE28/(((AD28)*(1+BuyerPremium)+IF(N(Deals!S27)=0,0,MIN(N(Deals!S27),MAX(0,N(Deals!S27)+SheriffCostsFromBid-(AD28)*(1-RTTPurchase)))))+Underwriting!$S27)/(Underwriting!$M27/12),0))</f>
        <v/>
      </c>
      <c r="AG28" s="32" t="str">
        <f aca="false">IF(Underwriting!$A27="","",IFERROR(Underwriting!$Z27/(((AD28)*(1+BuyerPremium)+IF(N(Deals!S27)=0,0,MIN(N(Deals!S27),MAX(0,N(Deals!S27)+SheriffCostsFromBid-(AD28)*(1-RTTPurchase)))))+Underwriting!$AA27),0))</f>
        <v/>
      </c>
      <c r="AH28" s="31" t="str">
        <f aca="false">IF(Underwriting!$A27="","",$E28)</f>
        <v/>
      </c>
      <c r="AI28" s="31" t="str">
        <f aca="false">IF(Underwriting!$A27="","",Underwriting!$T27-((AH28)*(1+BuyerPremium)+IF(N(Deals!S27)=0,0,MIN(N(Deals!S27),MAX(0,N(Deals!S27)+SheriffCostsFromBid-(AH28)*(1-RTTPurchase))))))</f>
        <v/>
      </c>
      <c r="AJ28" s="32" t="str">
        <f aca="false">IF(Underwriting!$A27="","",IFERROR(AI28/(((AH28)*(1+BuyerPremium)+IF(N(Deals!S27)=0,0,MIN(N(Deals!S27),MAX(0,N(Deals!S27)+SheriffCostsFromBid-(AH28)*(1-RTTPurchase)))))+Underwriting!$S27)/(Underwriting!$M27/12),0))</f>
        <v/>
      </c>
      <c r="AK28" s="32" t="str">
        <f aca="false">IF(Underwriting!$A27="","",IFERROR(Underwriting!$Z27/(((AH28)*(1+BuyerPremium)+IF(N(Deals!S27)=0,0,MIN(N(Deals!S27),MAX(0,N(Deals!S27)+SheriffCostsFromBid-(AH28)*(1-RTTPurchase)))))+Underwriting!$AA27),0))</f>
        <v/>
      </c>
    </row>
    <row r="29" customFormat="false" ht="15" hidden="false" customHeight="true" outlineLevel="0" collapsed="false">
      <c r="A29" s="1" t="str">
        <f aca="false">Underwriting!$A28</f>
        <v/>
      </c>
      <c r="B29" s="1" t="str">
        <f aca="false">Underwriting!$B28</f>
        <v/>
      </c>
      <c r="C29" s="31" t="str">
        <f aca="false">IF(Underwriting!$A28="","",N(Deals!M28))</f>
        <v/>
      </c>
      <c r="D29" s="31" t="str">
        <f aca="false">IF(Underwriting!$A28="","",N(Deals!D28))</f>
        <v/>
      </c>
      <c r="E29" s="31" t="str">
        <f aca="false">IF(Underwriting!$A28="","",Underwriting!$D28)</f>
        <v/>
      </c>
      <c r="F29" s="31" t="str">
        <f aca="false">IF(Underwriting!$A28="","",$D29)</f>
        <v/>
      </c>
      <c r="G29" s="31" t="str">
        <f aca="false">IF(Underwriting!$A28="","",Underwriting!$T28-((F29)*(1+BuyerPremium)+IF(N(Deals!S28)=0,0,MIN(N(Deals!S28),MAX(0,N(Deals!S28)+SheriffCostsFromBid-(F29)*(1-RTTPurchase))))))</f>
        <v/>
      </c>
      <c r="H29" s="32" t="str">
        <f aca="false">IF(Underwriting!$A28="","",IFERROR(G29/(((F29)*(1+BuyerPremium)+IF(N(Deals!S28)=0,0,MIN(N(Deals!S28),MAX(0,N(Deals!S28)+SheriffCostsFromBid-(F29)*(1-RTTPurchase)))))+Underwriting!$S28)/(Underwriting!$M28/12),0))</f>
        <v/>
      </c>
      <c r="I29" s="32" t="str">
        <f aca="false">IF(Underwriting!$A28="","",IFERROR(Underwriting!$Z28/(((F29)*(1+BuyerPremium)+IF(N(Deals!S28)=0,0,MIN(N(Deals!S28),MAX(0,N(Deals!S28)+SheriffCostsFromBid-(F29)*(1-RTTPurchase)))))+Underwriting!$AA28),0))</f>
        <v/>
      </c>
      <c r="J29" s="31" t="str">
        <f aca="false">IF(Underwriting!$A28="","",ROUND(J$2*$C29,-3))</f>
        <v/>
      </c>
      <c r="K29" s="31" t="str">
        <f aca="false">IF(Underwriting!$A28="","",Underwriting!$T28-((J29)*(1+BuyerPremium)+IF(N(Deals!S28)=0,0,MIN(N(Deals!S28),MAX(0,N(Deals!S28)+SheriffCostsFromBid-(J29)*(1-RTTPurchase))))))</f>
        <v/>
      </c>
      <c r="L29" s="32" t="str">
        <f aca="false">IF(Underwriting!$A28="","",IFERROR(K29/(((J29)*(1+BuyerPremium)+IF(N(Deals!S28)=0,0,MIN(N(Deals!S28),MAX(0,N(Deals!S28)+SheriffCostsFromBid-(J29)*(1-RTTPurchase)))))+Underwriting!$S28)/(Underwriting!$M28/12),0))</f>
        <v/>
      </c>
      <c r="M29" s="32" t="str">
        <f aca="false">IF(Underwriting!$A28="","",IFERROR(Underwriting!$Z28/(((J29)*(1+BuyerPremium)+IF(N(Deals!S28)=0,0,MIN(N(Deals!S28),MAX(0,N(Deals!S28)+SheriffCostsFromBid-(J29)*(1-RTTPurchase)))))+Underwriting!$AA28),0))</f>
        <v/>
      </c>
      <c r="N29" s="31" t="str">
        <f aca="false">IF(Underwriting!$A28="","",ROUND(N$2*$C29,-3))</f>
        <v/>
      </c>
      <c r="O29" s="31" t="str">
        <f aca="false">IF(Underwriting!$A28="","",Underwriting!$T28-((N29)*(1+BuyerPremium)+IF(N(Deals!S28)=0,0,MIN(N(Deals!S28),MAX(0,N(Deals!S28)+SheriffCostsFromBid-(N29)*(1-RTTPurchase))))))</f>
        <v/>
      </c>
      <c r="P29" s="32" t="str">
        <f aca="false">IF(Underwriting!$A28="","",IFERROR(O29/(((N29)*(1+BuyerPremium)+IF(N(Deals!S28)=0,0,MIN(N(Deals!S28),MAX(0,N(Deals!S28)+SheriffCostsFromBid-(N29)*(1-RTTPurchase)))))+Underwriting!$S28)/(Underwriting!$M28/12),0))</f>
        <v/>
      </c>
      <c r="Q29" s="32" t="str">
        <f aca="false">IF(Underwriting!$A28="","",IFERROR(Underwriting!$Z28/(((N29)*(1+BuyerPremium)+IF(N(Deals!S28)=0,0,MIN(N(Deals!S28),MAX(0,N(Deals!S28)+SheriffCostsFromBid-(N29)*(1-RTTPurchase)))))+Underwriting!$AA28),0))</f>
        <v/>
      </c>
      <c r="R29" s="31" t="str">
        <f aca="false">IF(Underwriting!$A28="","",ROUND(R$2*$C29,-3))</f>
        <v/>
      </c>
      <c r="S29" s="31" t="str">
        <f aca="false">IF(Underwriting!$A28="","",Underwriting!$T28-((R29)*(1+BuyerPremium)+IF(N(Deals!S28)=0,0,MIN(N(Deals!S28),MAX(0,N(Deals!S28)+SheriffCostsFromBid-(R29)*(1-RTTPurchase))))))</f>
        <v/>
      </c>
      <c r="T29" s="32" t="str">
        <f aca="false">IF(Underwriting!$A28="","",IFERROR(S29/(((R29)*(1+BuyerPremium)+IF(N(Deals!S28)=0,0,MIN(N(Deals!S28),MAX(0,N(Deals!S28)+SheriffCostsFromBid-(R29)*(1-RTTPurchase)))))+Underwriting!$S28)/(Underwriting!$M28/12),0))</f>
        <v/>
      </c>
      <c r="U29" s="32" t="str">
        <f aca="false">IF(Underwriting!$A28="","",IFERROR(Underwriting!$Z28/(((R29)*(1+BuyerPremium)+IF(N(Deals!S28)=0,0,MIN(N(Deals!S28),MAX(0,N(Deals!S28)+SheriffCostsFromBid-(R29)*(1-RTTPurchase)))))+Underwriting!$AA28),0))</f>
        <v/>
      </c>
      <c r="V29" s="31" t="str">
        <f aca="false">IF(Underwriting!$A28="","",ROUND(V$2*$C29,-3))</f>
        <v/>
      </c>
      <c r="W29" s="31" t="str">
        <f aca="false">IF(Underwriting!$A28="","",Underwriting!$T28-((V29)*(1+BuyerPremium)+IF(N(Deals!S28)=0,0,MIN(N(Deals!S28),MAX(0,N(Deals!S28)+SheriffCostsFromBid-(V29)*(1-RTTPurchase))))))</f>
        <v/>
      </c>
      <c r="X29" s="32" t="str">
        <f aca="false">IF(Underwriting!$A28="","",IFERROR(W29/(((V29)*(1+BuyerPremium)+IF(N(Deals!S28)=0,0,MIN(N(Deals!S28),MAX(0,N(Deals!S28)+SheriffCostsFromBid-(V29)*(1-RTTPurchase)))))+Underwriting!$S28)/(Underwriting!$M28/12),0))</f>
        <v/>
      </c>
      <c r="Y29" s="32" t="str">
        <f aca="false">IF(Underwriting!$A28="","",IFERROR(Underwriting!$Z28/(((V29)*(1+BuyerPremium)+IF(N(Deals!S28)=0,0,MIN(N(Deals!S28),MAX(0,N(Deals!S28)+SheriffCostsFromBid-(V29)*(1-RTTPurchase)))))+Underwriting!$AA28),0))</f>
        <v/>
      </c>
      <c r="Z29" s="31" t="str">
        <f aca="false">IF(Underwriting!$A28="","",ROUND(Z$2*$C29,-3))</f>
        <v/>
      </c>
      <c r="AA29" s="31" t="str">
        <f aca="false">IF(Underwriting!$A28="","",Underwriting!$T28-((Z29)*(1+BuyerPremium)+IF(N(Deals!S28)=0,0,MIN(N(Deals!S28),MAX(0,N(Deals!S28)+SheriffCostsFromBid-(Z29)*(1-RTTPurchase))))))</f>
        <v/>
      </c>
      <c r="AB29" s="32" t="str">
        <f aca="false">IF(Underwriting!$A28="","",IFERROR(AA29/(((Z29)*(1+BuyerPremium)+IF(N(Deals!S28)=0,0,MIN(N(Deals!S28),MAX(0,N(Deals!S28)+SheriffCostsFromBid-(Z29)*(1-RTTPurchase)))))+Underwriting!$S28)/(Underwriting!$M28/12),0))</f>
        <v/>
      </c>
      <c r="AC29" s="32" t="str">
        <f aca="false">IF(Underwriting!$A28="","",IFERROR(Underwriting!$Z28/(((Z29)*(1+BuyerPremium)+IF(N(Deals!S28)=0,0,MIN(N(Deals!S28),MAX(0,N(Deals!S28)+SheriffCostsFromBid-(Z29)*(1-RTTPurchase)))))+Underwriting!$AA28),0))</f>
        <v/>
      </c>
      <c r="AD29" s="31" t="str">
        <f aca="false">IF(Underwriting!$A28="","",ROUND(AD$2*$C29,-3))</f>
        <v/>
      </c>
      <c r="AE29" s="31" t="str">
        <f aca="false">IF(Underwriting!$A28="","",Underwriting!$T28-((AD29)*(1+BuyerPremium)+IF(N(Deals!S28)=0,0,MIN(N(Deals!S28),MAX(0,N(Deals!S28)+SheriffCostsFromBid-(AD29)*(1-RTTPurchase))))))</f>
        <v/>
      </c>
      <c r="AF29" s="32" t="str">
        <f aca="false">IF(Underwriting!$A28="","",IFERROR(AE29/(((AD29)*(1+BuyerPremium)+IF(N(Deals!S28)=0,0,MIN(N(Deals!S28),MAX(0,N(Deals!S28)+SheriffCostsFromBid-(AD29)*(1-RTTPurchase)))))+Underwriting!$S28)/(Underwriting!$M28/12),0))</f>
        <v/>
      </c>
      <c r="AG29" s="32" t="str">
        <f aca="false">IF(Underwriting!$A28="","",IFERROR(Underwriting!$Z28/(((AD29)*(1+BuyerPremium)+IF(N(Deals!S28)=0,0,MIN(N(Deals!S28),MAX(0,N(Deals!S28)+SheriffCostsFromBid-(AD29)*(1-RTTPurchase)))))+Underwriting!$AA28),0))</f>
        <v/>
      </c>
      <c r="AH29" s="31" t="str">
        <f aca="false">IF(Underwriting!$A28="","",$E29)</f>
        <v/>
      </c>
      <c r="AI29" s="31" t="str">
        <f aca="false">IF(Underwriting!$A28="","",Underwriting!$T28-((AH29)*(1+BuyerPremium)+IF(N(Deals!S28)=0,0,MIN(N(Deals!S28),MAX(0,N(Deals!S28)+SheriffCostsFromBid-(AH29)*(1-RTTPurchase))))))</f>
        <v/>
      </c>
      <c r="AJ29" s="32" t="str">
        <f aca="false">IF(Underwriting!$A28="","",IFERROR(AI29/(((AH29)*(1+BuyerPremium)+IF(N(Deals!S28)=0,0,MIN(N(Deals!S28),MAX(0,N(Deals!S28)+SheriffCostsFromBid-(AH29)*(1-RTTPurchase)))))+Underwriting!$S28)/(Underwriting!$M28/12),0))</f>
        <v/>
      </c>
      <c r="AK29" s="32" t="str">
        <f aca="false">IF(Underwriting!$A28="","",IFERROR(Underwriting!$Z28/(((AH29)*(1+BuyerPremium)+IF(N(Deals!S28)=0,0,MIN(N(Deals!S28),MAX(0,N(Deals!S28)+SheriffCostsFromBid-(AH29)*(1-RTTPurchase)))))+Underwriting!$AA28),0))</f>
        <v/>
      </c>
    </row>
    <row r="30" customFormat="false" ht="15" hidden="false" customHeight="true" outlineLevel="0" collapsed="false">
      <c r="A30" s="1" t="str">
        <f aca="false">Underwriting!$A29</f>
        <v/>
      </c>
      <c r="B30" s="1" t="str">
        <f aca="false">Underwriting!$B29</f>
        <v/>
      </c>
      <c r="C30" s="31" t="str">
        <f aca="false">IF(Underwriting!$A29="","",N(Deals!M29))</f>
        <v/>
      </c>
      <c r="D30" s="31" t="str">
        <f aca="false">IF(Underwriting!$A29="","",N(Deals!D29))</f>
        <v/>
      </c>
      <c r="E30" s="31" t="str">
        <f aca="false">IF(Underwriting!$A29="","",Underwriting!$D29)</f>
        <v/>
      </c>
      <c r="F30" s="31" t="str">
        <f aca="false">IF(Underwriting!$A29="","",$D30)</f>
        <v/>
      </c>
      <c r="G30" s="31" t="str">
        <f aca="false">IF(Underwriting!$A29="","",Underwriting!$T29-((F30)*(1+BuyerPremium)+IF(N(Deals!S29)=0,0,MIN(N(Deals!S29),MAX(0,N(Deals!S29)+SheriffCostsFromBid-(F30)*(1-RTTPurchase))))))</f>
        <v/>
      </c>
      <c r="H30" s="32" t="str">
        <f aca="false">IF(Underwriting!$A29="","",IFERROR(G30/(((F30)*(1+BuyerPremium)+IF(N(Deals!S29)=0,0,MIN(N(Deals!S29),MAX(0,N(Deals!S29)+SheriffCostsFromBid-(F30)*(1-RTTPurchase)))))+Underwriting!$S29)/(Underwriting!$M29/12),0))</f>
        <v/>
      </c>
      <c r="I30" s="32" t="str">
        <f aca="false">IF(Underwriting!$A29="","",IFERROR(Underwriting!$Z29/(((F30)*(1+BuyerPremium)+IF(N(Deals!S29)=0,0,MIN(N(Deals!S29),MAX(0,N(Deals!S29)+SheriffCostsFromBid-(F30)*(1-RTTPurchase)))))+Underwriting!$AA29),0))</f>
        <v/>
      </c>
      <c r="J30" s="31" t="str">
        <f aca="false">IF(Underwriting!$A29="","",ROUND(J$2*$C30,-3))</f>
        <v/>
      </c>
      <c r="K30" s="31" t="str">
        <f aca="false">IF(Underwriting!$A29="","",Underwriting!$T29-((J30)*(1+BuyerPremium)+IF(N(Deals!S29)=0,0,MIN(N(Deals!S29),MAX(0,N(Deals!S29)+SheriffCostsFromBid-(J30)*(1-RTTPurchase))))))</f>
        <v/>
      </c>
      <c r="L30" s="32" t="str">
        <f aca="false">IF(Underwriting!$A29="","",IFERROR(K30/(((J30)*(1+BuyerPremium)+IF(N(Deals!S29)=0,0,MIN(N(Deals!S29),MAX(0,N(Deals!S29)+SheriffCostsFromBid-(J30)*(1-RTTPurchase)))))+Underwriting!$S29)/(Underwriting!$M29/12),0))</f>
        <v/>
      </c>
      <c r="M30" s="32" t="str">
        <f aca="false">IF(Underwriting!$A29="","",IFERROR(Underwriting!$Z29/(((J30)*(1+BuyerPremium)+IF(N(Deals!S29)=0,0,MIN(N(Deals!S29),MAX(0,N(Deals!S29)+SheriffCostsFromBid-(J30)*(1-RTTPurchase)))))+Underwriting!$AA29),0))</f>
        <v/>
      </c>
      <c r="N30" s="31" t="str">
        <f aca="false">IF(Underwriting!$A29="","",ROUND(N$2*$C30,-3))</f>
        <v/>
      </c>
      <c r="O30" s="31" t="str">
        <f aca="false">IF(Underwriting!$A29="","",Underwriting!$T29-((N30)*(1+BuyerPremium)+IF(N(Deals!S29)=0,0,MIN(N(Deals!S29),MAX(0,N(Deals!S29)+SheriffCostsFromBid-(N30)*(1-RTTPurchase))))))</f>
        <v/>
      </c>
      <c r="P30" s="32" t="str">
        <f aca="false">IF(Underwriting!$A29="","",IFERROR(O30/(((N30)*(1+BuyerPremium)+IF(N(Deals!S29)=0,0,MIN(N(Deals!S29),MAX(0,N(Deals!S29)+SheriffCostsFromBid-(N30)*(1-RTTPurchase)))))+Underwriting!$S29)/(Underwriting!$M29/12),0))</f>
        <v/>
      </c>
      <c r="Q30" s="32" t="str">
        <f aca="false">IF(Underwriting!$A29="","",IFERROR(Underwriting!$Z29/(((N30)*(1+BuyerPremium)+IF(N(Deals!S29)=0,0,MIN(N(Deals!S29),MAX(0,N(Deals!S29)+SheriffCostsFromBid-(N30)*(1-RTTPurchase)))))+Underwriting!$AA29),0))</f>
        <v/>
      </c>
      <c r="R30" s="31" t="str">
        <f aca="false">IF(Underwriting!$A29="","",ROUND(R$2*$C30,-3))</f>
        <v/>
      </c>
      <c r="S30" s="31" t="str">
        <f aca="false">IF(Underwriting!$A29="","",Underwriting!$T29-((R30)*(1+BuyerPremium)+IF(N(Deals!S29)=0,0,MIN(N(Deals!S29),MAX(0,N(Deals!S29)+SheriffCostsFromBid-(R30)*(1-RTTPurchase))))))</f>
        <v/>
      </c>
      <c r="T30" s="32" t="str">
        <f aca="false">IF(Underwriting!$A29="","",IFERROR(S30/(((R30)*(1+BuyerPremium)+IF(N(Deals!S29)=0,0,MIN(N(Deals!S29),MAX(0,N(Deals!S29)+SheriffCostsFromBid-(R30)*(1-RTTPurchase)))))+Underwriting!$S29)/(Underwriting!$M29/12),0))</f>
        <v/>
      </c>
      <c r="U30" s="32" t="str">
        <f aca="false">IF(Underwriting!$A29="","",IFERROR(Underwriting!$Z29/(((R30)*(1+BuyerPremium)+IF(N(Deals!S29)=0,0,MIN(N(Deals!S29),MAX(0,N(Deals!S29)+SheriffCostsFromBid-(R30)*(1-RTTPurchase)))))+Underwriting!$AA29),0))</f>
        <v/>
      </c>
      <c r="V30" s="31" t="str">
        <f aca="false">IF(Underwriting!$A29="","",ROUND(V$2*$C30,-3))</f>
        <v/>
      </c>
      <c r="W30" s="31" t="str">
        <f aca="false">IF(Underwriting!$A29="","",Underwriting!$T29-((V30)*(1+BuyerPremium)+IF(N(Deals!S29)=0,0,MIN(N(Deals!S29),MAX(0,N(Deals!S29)+SheriffCostsFromBid-(V30)*(1-RTTPurchase))))))</f>
        <v/>
      </c>
      <c r="X30" s="32" t="str">
        <f aca="false">IF(Underwriting!$A29="","",IFERROR(W30/(((V30)*(1+BuyerPremium)+IF(N(Deals!S29)=0,0,MIN(N(Deals!S29),MAX(0,N(Deals!S29)+SheriffCostsFromBid-(V30)*(1-RTTPurchase)))))+Underwriting!$S29)/(Underwriting!$M29/12),0))</f>
        <v/>
      </c>
      <c r="Y30" s="32" t="str">
        <f aca="false">IF(Underwriting!$A29="","",IFERROR(Underwriting!$Z29/(((V30)*(1+BuyerPremium)+IF(N(Deals!S29)=0,0,MIN(N(Deals!S29),MAX(0,N(Deals!S29)+SheriffCostsFromBid-(V30)*(1-RTTPurchase)))))+Underwriting!$AA29),0))</f>
        <v/>
      </c>
      <c r="Z30" s="31" t="str">
        <f aca="false">IF(Underwriting!$A29="","",ROUND(Z$2*$C30,-3))</f>
        <v/>
      </c>
      <c r="AA30" s="31" t="str">
        <f aca="false">IF(Underwriting!$A29="","",Underwriting!$T29-((Z30)*(1+BuyerPremium)+IF(N(Deals!S29)=0,0,MIN(N(Deals!S29),MAX(0,N(Deals!S29)+SheriffCostsFromBid-(Z30)*(1-RTTPurchase))))))</f>
        <v/>
      </c>
      <c r="AB30" s="32" t="str">
        <f aca="false">IF(Underwriting!$A29="","",IFERROR(AA30/(((Z30)*(1+BuyerPremium)+IF(N(Deals!S29)=0,0,MIN(N(Deals!S29),MAX(0,N(Deals!S29)+SheriffCostsFromBid-(Z30)*(1-RTTPurchase)))))+Underwriting!$S29)/(Underwriting!$M29/12),0))</f>
        <v/>
      </c>
      <c r="AC30" s="32" t="str">
        <f aca="false">IF(Underwriting!$A29="","",IFERROR(Underwriting!$Z29/(((Z30)*(1+BuyerPremium)+IF(N(Deals!S29)=0,0,MIN(N(Deals!S29),MAX(0,N(Deals!S29)+SheriffCostsFromBid-(Z30)*(1-RTTPurchase)))))+Underwriting!$AA29),0))</f>
        <v/>
      </c>
      <c r="AD30" s="31" t="str">
        <f aca="false">IF(Underwriting!$A29="","",ROUND(AD$2*$C30,-3))</f>
        <v/>
      </c>
      <c r="AE30" s="31" t="str">
        <f aca="false">IF(Underwriting!$A29="","",Underwriting!$T29-((AD30)*(1+BuyerPremium)+IF(N(Deals!S29)=0,0,MIN(N(Deals!S29),MAX(0,N(Deals!S29)+SheriffCostsFromBid-(AD30)*(1-RTTPurchase))))))</f>
        <v/>
      </c>
      <c r="AF30" s="32" t="str">
        <f aca="false">IF(Underwriting!$A29="","",IFERROR(AE30/(((AD30)*(1+BuyerPremium)+IF(N(Deals!S29)=0,0,MIN(N(Deals!S29),MAX(0,N(Deals!S29)+SheriffCostsFromBid-(AD30)*(1-RTTPurchase)))))+Underwriting!$S29)/(Underwriting!$M29/12),0))</f>
        <v/>
      </c>
      <c r="AG30" s="32" t="str">
        <f aca="false">IF(Underwriting!$A29="","",IFERROR(Underwriting!$Z29/(((AD30)*(1+BuyerPremium)+IF(N(Deals!S29)=0,0,MIN(N(Deals!S29),MAX(0,N(Deals!S29)+SheriffCostsFromBid-(AD30)*(1-RTTPurchase)))))+Underwriting!$AA29),0))</f>
        <v/>
      </c>
      <c r="AH30" s="31" t="str">
        <f aca="false">IF(Underwriting!$A29="","",$E30)</f>
        <v/>
      </c>
      <c r="AI30" s="31" t="str">
        <f aca="false">IF(Underwriting!$A29="","",Underwriting!$T29-((AH30)*(1+BuyerPremium)+IF(N(Deals!S29)=0,0,MIN(N(Deals!S29),MAX(0,N(Deals!S29)+SheriffCostsFromBid-(AH30)*(1-RTTPurchase))))))</f>
        <v/>
      </c>
      <c r="AJ30" s="32" t="str">
        <f aca="false">IF(Underwriting!$A29="","",IFERROR(AI30/(((AH30)*(1+BuyerPremium)+IF(N(Deals!S29)=0,0,MIN(N(Deals!S29),MAX(0,N(Deals!S29)+SheriffCostsFromBid-(AH30)*(1-RTTPurchase)))))+Underwriting!$S29)/(Underwriting!$M29/12),0))</f>
        <v/>
      </c>
      <c r="AK30" s="32" t="str">
        <f aca="false">IF(Underwriting!$A29="","",IFERROR(Underwriting!$Z29/(((AH30)*(1+BuyerPremium)+IF(N(Deals!S29)=0,0,MIN(N(Deals!S29),MAX(0,N(Deals!S29)+SheriffCostsFromBid-(AH30)*(1-RTTPurchase)))))+Underwriting!$AA29),0))</f>
        <v/>
      </c>
    </row>
    <row r="31" customFormat="false" ht="15" hidden="false" customHeight="true" outlineLevel="0" collapsed="false">
      <c r="A31" s="1" t="str">
        <f aca="false">Underwriting!$A30</f>
        <v/>
      </c>
      <c r="B31" s="1" t="str">
        <f aca="false">Underwriting!$B30</f>
        <v/>
      </c>
      <c r="C31" s="31" t="str">
        <f aca="false">IF(Underwriting!$A30="","",N(Deals!M30))</f>
        <v/>
      </c>
      <c r="D31" s="31" t="str">
        <f aca="false">IF(Underwriting!$A30="","",N(Deals!D30))</f>
        <v/>
      </c>
      <c r="E31" s="31" t="str">
        <f aca="false">IF(Underwriting!$A30="","",Underwriting!$D30)</f>
        <v/>
      </c>
      <c r="F31" s="31" t="str">
        <f aca="false">IF(Underwriting!$A30="","",$D31)</f>
        <v/>
      </c>
      <c r="G31" s="31" t="str">
        <f aca="false">IF(Underwriting!$A30="","",Underwriting!$T30-((F31)*(1+BuyerPremium)+IF(N(Deals!S30)=0,0,MIN(N(Deals!S30),MAX(0,N(Deals!S30)+SheriffCostsFromBid-(F31)*(1-RTTPurchase))))))</f>
        <v/>
      </c>
      <c r="H31" s="32" t="str">
        <f aca="false">IF(Underwriting!$A30="","",IFERROR(G31/(((F31)*(1+BuyerPremium)+IF(N(Deals!S30)=0,0,MIN(N(Deals!S30),MAX(0,N(Deals!S30)+SheriffCostsFromBid-(F31)*(1-RTTPurchase)))))+Underwriting!$S30)/(Underwriting!$M30/12),0))</f>
        <v/>
      </c>
      <c r="I31" s="32" t="str">
        <f aca="false">IF(Underwriting!$A30="","",IFERROR(Underwriting!$Z30/(((F31)*(1+BuyerPremium)+IF(N(Deals!S30)=0,0,MIN(N(Deals!S30),MAX(0,N(Deals!S30)+SheriffCostsFromBid-(F31)*(1-RTTPurchase)))))+Underwriting!$AA30),0))</f>
        <v/>
      </c>
      <c r="J31" s="31" t="str">
        <f aca="false">IF(Underwriting!$A30="","",ROUND(J$2*$C31,-3))</f>
        <v/>
      </c>
      <c r="K31" s="31" t="str">
        <f aca="false">IF(Underwriting!$A30="","",Underwriting!$T30-((J31)*(1+BuyerPremium)+IF(N(Deals!S30)=0,0,MIN(N(Deals!S30),MAX(0,N(Deals!S30)+SheriffCostsFromBid-(J31)*(1-RTTPurchase))))))</f>
        <v/>
      </c>
      <c r="L31" s="32" t="str">
        <f aca="false">IF(Underwriting!$A30="","",IFERROR(K31/(((J31)*(1+BuyerPremium)+IF(N(Deals!S30)=0,0,MIN(N(Deals!S30),MAX(0,N(Deals!S30)+SheriffCostsFromBid-(J31)*(1-RTTPurchase)))))+Underwriting!$S30)/(Underwriting!$M30/12),0))</f>
        <v/>
      </c>
      <c r="M31" s="32" t="str">
        <f aca="false">IF(Underwriting!$A30="","",IFERROR(Underwriting!$Z30/(((J31)*(1+BuyerPremium)+IF(N(Deals!S30)=0,0,MIN(N(Deals!S30),MAX(0,N(Deals!S30)+SheriffCostsFromBid-(J31)*(1-RTTPurchase)))))+Underwriting!$AA30),0))</f>
        <v/>
      </c>
      <c r="N31" s="31" t="str">
        <f aca="false">IF(Underwriting!$A30="","",ROUND(N$2*$C31,-3))</f>
        <v/>
      </c>
      <c r="O31" s="31" t="str">
        <f aca="false">IF(Underwriting!$A30="","",Underwriting!$T30-((N31)*(1+BuyerPremium)+IF(N(Deals!S30)=0,0,MIN(N(Deals!S30),MAX(0,N(Deals!S30)+SheriffCostsFromBid-(N31)*(1-RTTPurchase))))))</f>
        <v/>
      </c>
      <c r="P31" s="32" t="str">
        <f aca="false">IF(Underwriting!$A30="","",IFERROR(O31/(((N31)*(1+BuyerPremium)+IF(N(Deals!S30)=0,0,MIN(N(Deals!S30),MAX(0,N(Deals!S30)+SheriffCostsFromBid-(N31)*(1-RTTPurchase)))))+Underwriting!$S30)/(Underwriting!$M30/12),0))</f>
        <v/>
      </c>
      <c r="Q31" s="32" t="str">
        <f aca="false">IF(Underwriting!$A30="","",IFERROR(Underwriting!$Z30/(((N31)*(1+BuyerPremium)+IF(N(Deals!S30)=0,0,MIN(N(Deals!S30),MAX(0,N(Deals!S30)+SheriffCostsFromBid-(N31)*(1-RTTPurchase)))))+Underwriting!$AA30),0))</f>
        <v/>
      </c>
      <c r="R31" s="31" t="str">
        <f aca="false">IF(Underwriting!$A30="","",ROUND(R$2*$C31,-3))</f>
        <v/>
      </c>
      <c r="S31" s="31" t="str">
        <f aca="false">IF(Underwriting!$A30="","",Underwriting!$T30-((R31)*(1+BuyerPremium)+IF(N(Deals!S30)=0,0,MIN(N(Deals!S30),MAX(0,N(Deals!S30)+SheriffCostsFromBid-(R31)*(1-RTTPurchase))))))</f>
        <v/>
      </c>
      <c r="T31" s="32" t="str">
        <f aca="false">IF(Underwriting!$A30="","",IFERROR(S31/(((R31)*(1+BuyerPremium)+IF(N(Deals!S30)=0,0,MIN(N(Deals!S30),MAX(0,N(Deals!S30)+SheriffCostsFromBid-(R31)*(1-RTTPurchase)))))+Underwriting!$S30)/(Underwriting!$M30/12),0))</f>
        <v/>
      </c>
      <c r="U31" s="32" t="str">
        <f aca="false">IF(Underwriting!$A30="","",IFERROR(Underwriting!$Z30/(((R31)*(1+BuyerPremium)+IF(N(Deals!S30)=0,0,MIN(N(Deals!S30),MAX(0,N(Deals!S30)+SheriffCostsFromBid-(R31)*(1-RTTPurchase)))))+Underwriting!$AA30),0))</f>
        <v/>
      </c>
      <c r="V31" s="31" t="str">
        <f aca="false">IF(Underwriting!$A30="","",ROUND(V$2*$C31,-3))</f>
        <v/>
      </c>
      <c r="W31" s="31" t="str">
        <f aca="false">IF(Underwriting!$A30="","",Underwriting!$T30-((V31)*(1+BuyerPremium)+IF(N(Deals!S30)=0,0,MIN(N(Deals!S30),MAX(0,N(Deals!S30)+SheriffCostsFromBid-(V31)*(1-RTTPurchase))))))</f>
        <v/>
      </c>
      <c r="X31" s="32" t="str">
        <f aca="false">IF(Underwriting!$A30="","",IFERROR(W31/(((V31)*(1+BuyerPremium)+IF(N(Deals!S30)=0,0,MIN(N(Deals!S30),MAX(0,N(Deals!S30)+SheriffCostsFromBid-(V31)*(1-RTTPurchase)))))+Underwriting!$S30)/(Underwriting!$M30/12),0))</f>
        <v/>
      </c>
      <c r="Y31" s="32" t="str">
        <f aca="false">IF(Underwriting!$A30="","",IFERROR(Underwriting!$Z30/(((V31)*(1+BuyerPremium)+IF(N(Deals!S30)=0,0,MIN(N(Deals!S30),MAX(0,N(Deals!S30)+SheriffCostsFromBid-(V31)*(1-RTTPurchase)))))+Underwriting!$AA30),0))</f>
        <v/>
      </c>
      <c r="Z31" s="31" t="str">
        <f aca="false">IF(Underwriting!$A30="","",ROUND(Z$2*$C31,-3))</f>
        <v/>
      </c>
      <c r="AA31" s="31" t="str">
        <f aca="false">IF(Underwriting!$A30="","",Underwriting!$T30-((Z31)*(1+BuyerPremium)+IF(N(Deals!S30)=0,0,MIN(N(Deals!S30),MAX(0,N(Deals!S30)+SheriffCostsFromBid-(Z31)*(1-RTTPurchase))))))</f>
        <v/>
      </c>
      <c r="AB31" s="32" t="str">
        <f aca="false">IF(Underwriting!$A30="","",IFERROR(AA31/(((Z31)*(1+BuyerPremium)+IF(N(Deals!S30)=0,0,MIN(N(Deals!S30),MAX(0,N(Deals!S30)+SheriffCostsFromBid-(Z31)*(1-RTTPurchase)))))+Underwriting!$S30)/(Underwriting!$M30/12),0))</f>
        <v/>
      </c>
      <c r="AC31" s="32" t="str">
        <f aca="false">IF(Underwriting!$A30="","",IFERROR(Underwriting!$Z30/(((Z31)*(1+BuyerPremium)+IF(N(Deals!S30)=0,0,MIN(N(Deals!S30),MAX(0,N(Deals!S30)+SheriffCostsFromBid-(Z31)*(1-RTTPurchase)))))+Underwriting!$AA30),0))</f>
        <v/>
      </c>
      <c r="AD31" s="31" t="str">
        <f aca="false">IF(Underwriting!$A30="","",ROUND(AD$2*$C31,-3))</f>
        <v/>
      </c>
      <c r="AE31" s="31" t="str">
        <f aca="false">IF(Underwriting!$A30="","",Underwriting!$T30-((AD31)*(1+BuyerPremium)+IF(N(Deals!S30)=0,0,MIN(N(Deals!S30),MAX(0,N(Deals!S30)+SheriffCostsFromBid-(AD31)*(1-RTTPurchase))))))</f>
        <v/>
      </c>
      <c r="AF31" s="32" t="str">
        <f aca="false">IF(Underwriting!$A30="","",IFERROR(AE31/(((AD31)*(1+BuyerPremium)+IF(N(Deals!S30)=0,0,MIN(N(Deals!S30),MAX(0,N(Deals!S30)+SheriffCostsFromBid-(AD31)*(1-RTTPurchase)))))+Underwriting!$S30)/(Underwriting!$M30/12),0))</f>
        <v/>
      </c>
      <c r="AG31" s="32" t="str">
        <f aca="false">IF(Underwriting!$A30="","",IFERROR(Underwriting!$Z30/(((AD31)*(1+BuyerPremium)+IF(N(Deals!S30)=0,0,MIN(N(Deals!S30),MAX(0,N(Deals!S30)+SheriffCostsFromBid-(AD31)*(1-RTTPurchase)))))+Underwriting!$AA30),0))</f>
        <v/>
      </c>
      <c r="AH31" s="31" t="str">
        <f aca="false">IF(Underwriting!$A30="","",$E31)</f>
        <v/>
      </c>
      <c r="AI31" s="31" t="str">
        <f aca="false">IF(Underwriting!$A30="","",Underwriting!$T30-((AH31)*(1+BuyerPremium)+IF(N(Deals!S30)=0,0,MIN(N(Deals!S30),MAX(0,N(Deals!S30)+SheriffCostsFromBid-(AH31)*(1-RTTPurchase))))))</f>
        <v/>
      </c>
      <c r="AJ31" s="32" t="str">
        <f aca="false">IF(Underwriting!$A30="","",IFERROR(AI31/(((AH31)*(1+BuyerPremium)+IF(N(Deals!S30)=0,0,MIN(N(Deals!S30),MAX(0,N(Deals!S30)+SheriffCostsFromBid-(AH31)*(1-RTTPurchase)))))+Underwriting!$S30)/(Underwriting!$M30/12),0))</f>
        <v/>
      </c>
      <c r="AK31" s="32" t="str">
        <f aca="false">IF(Underwriting!$A30="","",IFERROR(Underwriting!$Z30/(((AH31)*(1+BuyerPremium)+IF(N(Deals!S30)=0,0,MIN(N(Deals!S30),MAX(0,N(Deals!S30)+SheriffCostsFromBid-(AH31)*(1-RTTPurchase)))))+Underwriting!$AA30),0))</f>
        <v/>
      </c>
    </row>
    <row r="32" customFormat="false" ht="15" hidden="false" customHeight="true" outlineLevel="0" collapsed="false">
      <c r="A32" s="1" t="str">
        <f aca="false">Underwriting!$A31</f>
        <v/>
      </c>
      <c r="B32" s="1" t="str">
        <f aca="false">Underwriting!$B31</f>
        <v/>
      </c>
      <c r="C32" s="31" t="str">
        <f aca="false">IF(Underwriting!$A31="","",N(Deals!M31))</f>
        <v/>
      </c>
      <c r="D32" s="31" t="str">
        <f aca="false">IF(Underwriting!$A31="","",N(Deals!D31))</f>
        <v/>
      </c>
      <c r="E32" s="31" t="str">
        <f aca="false">IF(Underwriting!$A31="","",Underwriting!$D31)</f>
        <v/>
      </c>
      <c r="F32" s="31" t="str">
        <f aca="false">IF(Underwriting!$A31="","",$D32)</f>
        <v/>
      </c>
      <c r="G32" s="31" t="str">
        <f aca="false">IF(Underwriting!$A31="","",Underwriting!$T31-((F32)*(1+BuyerPremium)+IF(N(Deals!S31)=0,0,MIN(N(Deals!S31),MAX(0,N(Deals!S31)+SheriffCostsFromBid-(F32)*(1-RTTPurchase))))))</f>
        <v/>
      </c>
      <c r="H32" s="32" t="str">
        <f aca="false">IF(Underwriting!$A31="","",IFERROR(G32/(((F32)*(1+BuyerPremium)+IF(N(Deals!S31)=0,0,MIN(N(Deals!S31),MAX(0,N(Deals!S31)+SheriffCostsFromBid-(F32)*(1-RTTPurchase)))))+Underwriting!$S31)/(Underwriting!$M31/12),0))</f>
        <v/>
      </c>
      <c r="I32" s="32" t="str">
        <f aca="false">IF(Underwriting!$A31="","",IFERROR(Underwriting!$Z31/(((F32)*(1+BuyerPremium)+IF(N(Deals!S31)=0,0,MIN(N(Deals!S31),MAX(0,N(Deals!S31)+SheriffCostsFromBid-(F32)*(1-RTTPurchase)))))+Underwriting!$AA31),0))</f>
        <v/>
      </c>
      <c r="J32" s="31" t="str">
        <f aca="false">IF(Underwriting!$A31="","",ROUND(J$2*$C32,-3))</f>
        <v/>
      </c>
      <c r="K32" s="31" t="str">
        <f aca="false">IF(Underwriting!$A31="","",Underwriting!$T31-((J32)*(1+BuyerPremium)+IF(N(Deals!S31)=0,0,MIN(N(Deals!S31),MAX(0,N(Deals!S31)+SheriffCostsFromBid-(J32)*(1-RTTPurchase))))))</f>
        <v/>
      </c>
      <c r="L32" s="32" t="str">
        <f aca="false">IF(Underwriting!$A31="","",IFERROR(K32/(((J32)*(1+BuyerPremium)+IF(N(Deals!S31)=0,0,MIN(N(Deals!S31),MAX(0,N(Deals!S31)+SheriffCostsFromBid-(J32)*(1-RTTPurchase)))))+Underwriting!$S31)/(Underwriting!$M31/12),0))</f>
        <v/>
      </c>
      <c r="M32" s="32" t="str">
        <f aca="false">IF(Underwriting!$A31="","",IFERROR(Underwriting!$Z31/(((J32)*(1+BuyerPremium)+IF(N(Deals!S31)=0,0,MIN(N(Deals!S31),MAX(0,N(Deals!S31)+SheriffCostsFromBid-(J32)*(1-RTTPurchase)))))+Underwriting!$AA31),0))</f>
        <v/>
      </c>
      <c r="N32" s="31" t="str">
        <f aca="false">IF(Underwriting!$A31="","",ROUND(N$2*$C32,-3))</f>
        <v/>
      </c>
      <c r="O32" s="31" t="str">
        <f aca="false">IF(Underwriting!$A31="","",Underwriting!$T31-((N32)*(1+BuyerPremium)+IF(N(Deals!S31)=0,0,MIN(N(Deals!S31),MAX(0,N(Deals!S31)+SheriffCostsFromBid-(N32)*(1-RTTPurchase))))))</f>
        <v/>
      </c>
      <c r="P32" s="32" t="str">
        <f aca="false">IF(Underwriting!$A31="","",IFERROR(O32/(((N32)*(1+BuyerPremium)+IF(N(Deals!S31)=0,0,MIN(N(Deals!S31),MAX(0,N(Deals!S31)+SheriffCostsFromBid-(N32)*(1-RTTPurchase)))))+Underwriting!$S31)/(Underwriting!$M31/12),0))</f>
        <v/>
      </c>
      <c r="Q32" s="32" t="str">
        <f aca="false">IF(Underwriting!$A31="","",IFERROR(Underwriting!$Z31/(((N32)*(1+BuyerPremium)+IF(N(Deals!S31)=0,0,MIN(N(Deals!S31),MAX(0,N(Deals!S31)+SheriffCostsFromBid-(N32)*(1-RTTPurchase)))))+Underwriting!$AA31),0))</f>
        <v/>
      </c>
      <c r="R32" s="31" t="str">
        <f aca="false">IF(Underwriting!$A31="","",ROUND(R$2*$C32,-3))</f>
        <v/>
      </c>
      <c r="S32" s="31" t="str">
        <f aca="false">IF(Underwriting!$A31="","",Underwriting!$T31-((R32)*(1+BuyerPremium)+IF(N(Deals!S31)=0,0,MIN(N(Deals!S31),MAX(0,N(Deals!S31)+SheriffCostsFromBid-(R32)*(1-RTTPurchase))))))</f>
        <v/>
      </c>
      <c r="T32" s="32" t="str">
        <f aca="false">IF(Underwriting!$A31="","",IFERROR(S32/(((R32)*(1+BuyerPremium)+IF(N(Deals!S31)=0,0,MIN(N(Deals!S31),MAX(0,N(Deals!S31)+SheriffCostsFromBid-(R32)*(1-RTTPurchase)))))+Underwriting!$S31)/(Underwriting!$M31/12),0))</f>
        <v/>
      </c>
      <c r="U32" s="32" t="str">
        <f aca="false">IF(Underwriting!$A31="","",IFERROR(Underwriting!$Z31/(((R32)*(1+BuyerPremium)+IF(N(Deals!S31)=0,0,MIN(N(Deals!S31),MAX(0,N(Deals!S31)+SheriffCostsFromBid-(R32)*(1-RTTPurchase)))))+Underwriting!$AA31),0))</f>
        <v/>
      </c>
      <c r="V32" s="31" t="str">
        <f aca="false">IF(Underwriting!$A31="","",ROUND(V$2*$C32,-3))</f>
        <v/>
      </c>
      <c r="W32" s="31" t="str">
        <f aca="false">IF(Underwriting!$A31="","",Underwriting!$T31-((V32)*(1+BuyerPremium)+IF(N(Deals!S31)=0,0,MIN(N(Deals!S31),MAX(0,N(Deals!S31)+SheriffCostsFromBid-(V32)*(1-RTTPurchase))))))</f>
        <v/>
      </c>
      <c r="X32" s="32" t="str">
        <f aca="false">IF(Underwriting!$A31="","",IFERROR(W32/(((V32)*(1+BuyerPremium)+IF(N(Deals!S31)=0,0,MIN(N(Deals!S31),MAX(0,N(Deals!S31)+SheriffCostsFromBid-(V32)*(1-RTTPurchase)))))+Underwriting!$S31)/(Underwriting!$M31/12),0))</f>
        <v/>
      </c>
      <c r="Y32" s="32" t="str">
        <f aca="false">IF(Underwriting!$A31="","",IFERROR(Underwriting!$Z31/(((V32)*(1+BuyerPremium)+IF(N(Deals!S31)=0,0,MIN(N(Deals!S31),MAX(0,N(Deals!S31)+SheriffCostsFromBid-(V32)*(1-RTTPurchase)))))+Underwriting!$AA31),0))</f>
        <v/>
      </c>
      <c r="Z32" s="31" t="str">
        <f aca="false">IF(Underwriting!$A31="","",ROUND(Z$2*$C32,-3))</f>
        <v/>
      </c>
      <c r="AA32" s="31" t="str">
        <f aca="false">IF(Underwriting!$A31="","",Underwriting!$T31-((Z32)*(1+BuyerPremium)+IF(N(Deals!S31)=0,0,MIN(N(Deals!S31),MAX(0,N(Deals!S31)+SheriffCostsFromBid-(Z32)*(1-RTTPurchase))))))</f>
        <v/>
      </c>
      <c r="AB32" s="32" t="str">
        <f aca="false">IF(Underwriting!$A31="","",IFERROR(AA32/(((Z32)*(1+BuyerPremium)+IF(N(Deals!S31)=0,0,MIN(N(Deals!S31),MAX(0,N(Deals!S31)+SheriffCostsFromBid-(Z32)*(1-RTTPurchase)))))+Underwriting!$S31)/(Underwriting!$M31/12),0))</f>
        <v/>
      </c>
      <c r="AC32" s="32" t="str">
        <f aca="false">IF(Underwriting!$A31="","",IFERROR(Underwriting!$Z31/(((Z32)*(1+BuyerPremium)+IF(N(Deals!S31)=0,0,MIN(N(Deals!S31),MAX(0,N(Deals!S31)+SheriffCostsFromBid-(Z32)*(1-RTTPurchase)))))+Underwriting!$AA31),0))</f>
        <v/>
      </c>
      <c r="AD32" s="31" t="str">
        <f aca="false">IF(Underwriting!$A31="","",ROUND(AD$2*$C32,-3))</f>
        <v/>
      </c>
      <c r="AE32" s="31" t="str">
        <f aca="false">IF(Underwriting!$A31="","",Underwriting!$T31-((AD32)*(1+BuyerPremium)+IF(N(Deals!S31)=0,0,MIN(N(Deals!S31),MAX(0,N(Deals!S31)+SheriffCostsFromBid-(AD32)*(1-RTTPurchase))))))</f>
        <v/>
      </c>
      <c r="AF32" s="32" t="str">
        <f aca="false">IF(Underwriting!$A31="","",IFERROR(AE32/(((AD32)*(1+BuyerPremium)+IF(N(Deals!S31)=0,0,MIN(N(Deals!S31),MAX(0,N(Deals!S31)+SheriffCostsFromBid-(AD32)*(1-RTTPurchase)))))+Underwriting!$S31)/(Underwriting!$M31/12),0))</f>
        <v/>
      </c>
      <c r="AG32" s="32" t="str">
        <f aca="false">IF(Underwriting!$A31="","",IFERROR(Underwriting!$Z31/(((AD32)*(1+BuyerPremium)+IF(N(Deals!S31)=0,0,MIN(N(Deals!S31),MAX(0,N(Deals!S31)+SheriffCostsFromBid-(AD32)*(1-RTTPurchase)))))+Underwriting!$AA31),0))</f>
        <v/>
      </c>
      <c r="AH32" s="31" t="str">
        <f aca="false">IF(Underwriting!$A31="","",$E32)</f>
        <v/>
      </c>
      <c r="AI32" s="31" t="str">
        <f aca="false">IF(Underwriting!$A31="","",Underwriting!$T31-((AH32)*(1+BuyerPremium)+IF(N(Deals!S31)=0,0,MIN(N(Deals!S31),MAX(0,N(Deals!S31)+SheriffCostsFromBid-(AH32)*(1-RTTPurchase))))))</f>
        <v/>
      </c>
      <c r="AJ32" s="32" t="str">
        <f aca="false">IF(Underwriting!$A31="","",IFERROR(AI32/(((AH32)*(1+BuyerPremium)+IF(N(Deals!S31)=0,0,MIN(N(Deals!S31),MAX(0,N(Deals!S31)+SheriffCostsFromBid-(AH32)*(1-RTTPurchase)))))+Underwriting!$S31)/(Underwriting!$M31/12),0))</f>
        <v/>
      </c>
      <c r="AK32" s="32" t="str">
        <f aca="false">IF(Underwriting!$A31="","",IFERROR(Underwriting!$Z31/(((AH32)*(1+BuyerPremium)+IF(N(Deals!S31)=0,0,MIN(N(Deals!S31),MAX(0,N(Deals!S31)+SheriffCostsFromBid-(AH32)*(1-RTTPurchase)))))+Underwriting!$AA31),0))</f>
        <v/>
      </c>
    </row>
    <row r="33" customFormat="false" ht="15" hidden="false" customHeight="true" outlineLevel="0" collapsed="false">
      <c r="A33" s="1" t="str">
        <f aca="false">Underwriting!$A32</f>
        <v/>
      </c>
      <c r="B33" s="1" t="str">
        <f aca="false">Underwriting!$B32</f>
        <v/>
      </c>
      <c r="C33" s="31" t="str">
        <f aca="false">IF(Underwriting!$A32="","",N(Deals!M32))</f>
        <v/>
      </c>
      <c r="D33" s="31" t="str">
        <f aca="false">IF(Underwriting!$A32="","",N(Deals!D32))</f>
        <v/>
      </c>
      <c r="E33" s="31" t="str">
        <f aca="false">IF(Underwriting!$A32="","",Underwriting!$D32)</f>
        <v/>
      </c>
      <c r="F33" s="31" t="str">
        <f aca="false">IF(Underwriting!$A32="","",$D33)</f>
        <v/>
      </c>
      <c r="G33" s="31" t="str">
        <f aca="false">IF(Underwriting!$A32="","",Underwriting!$T32-((F33)*(1+BuyerPremium)+IF(N(Deals!S32)=0,0,MIN(N(Deals!S32),MAX(0,N(Deals!S32)+SheriffCostsFromBid-(F33)*(1-RTTPurchase))))))</f>
        <v/>
      </c>
      <c r="H33" s="32" t="str">
        <f aca="false">IF(Underwriting!$A32="","",IFERROR(G33/(((F33)*(1+BuyerPremium)+IF(N(Deals!S32)=0,0,MIN(N(Deals!S32),MAX(0,N(Deals!S32)+SheriffCostsFromBid-(F33)*(1-RTTPurchase)))))+Underwriting!$S32)/(Underwriting!$M32/12),0))</f>
        <v/>
      </c>
      <c r="I33" s="32" t="str">
        <f aca="false">IF(Underwriting!$A32="","",IFERROR(Underwriting!$Z32/(((F33)*(1+BuyerPremium)+IF(N(Deals!S32)=0,0,MIN(N(Deals!S32),MAX(0,N(Deals!S32)+SheriffCostsFromBid-(F33)*(1-RTTPurchase)))))+Underwriting!$AA32),0))</f>
        <v/>
      </c>
      <c r="J33" s="31" t="str">
        <f aca="false">IF(Underwriting!$A32="","",ROUND(J$2*$C33,-3))</f>
        <v/>
      </c>
      <c r="K33" s="31" t="str">
        <f aca="false">IF(Underwriting!$A32="","",Underwriting!$T32-((J33)*(1+BuyerPremium)+IF(N(Deals!S32)=0,0,MIN(N(Deals!S32),MAX(0,N(Deals!S32)+SheriffCostsFromBid-(J33)*(1-RTTPurchase))))))</f>
        <v/>
      </c>
      <c r="L33" s="32" t="str">
        <f aca="false">IF(Underwriting!$A32="","",IFERROR(K33/(((J33)*(1+BuyerPremium)+IF(N(Deals!S32)=0,0,MIN(N(Deals!S32),MAX(0,N(Deals!S32)+SheriffCostsFromBid-(J33)*(1-RTTPurchase)))))+Underwriting!$S32)/(Underwriting!$M32/12),0))</f>
        <v/>
      </c>
      <c r="M33" s="32" t="str">
        <f aca="false">IF(Underwriting!$A32="","",IFERROR(Underwriting!$Z32/(((J33)*(1+BuyerPremium)+IF(N(Deals!S32)=0,0,MIN(N(Deals!S32),MAX(0,N(Deals!S32)+SheriffCostsFromBid-(J33)*(1-RTTPurchase)))))+Underwriting!$AA32),0))</f>
        <v/>
      </c>
      <c r="N33" s="31" t="str">
        <f aca="false">IF(Underwriting!$A32="","",ROUND(N$2*$C33,-3))</f>
        <v/>
      </c>
      <c r="O33" s="31" t="str">
        <f aca="false">IF(Underwriting!$A32="","",Underwriting!$T32-((N33)*(1+BuyerPremium)+IF(N(Deals!S32)=0,0,MIN(N(Deals!S32),MAX(0,N(Deals!S32)+SheriffCostsFromBid-(N33)*(1-RTTPurchase))))))</f>
        <v/>
      </c>
      <c r="P33" s="32" t="str">
        <f aca="false">IF(Underwriting!$A32="","",IFERROR(O33/(((N33)*(1+BuyerPremium)+IF(N(Deals!S32)=0,0,MIN(N(Deals!S32),MAX(0,N(Deals!S32)+SheriffCostsFromBid-(N33)*(1-RTTPurchase)))))+Underwriting!$S32)/(Underwriting!$M32/12),0))</f>
        <v/>
      </c>
      <c r="Q33" s="32" t="str">
        <f aca="false">IF(Underwriting!$A32="","",IFERROR(Underwriting!$Z32/(((N33)*(1+BuyerPremium)+IF(N(Deals!S32)=0,0,MIN(N(Deals!S32),MAX(0,N(Deals!S32)+SheriffCostsFromBid-(N33)*(1-RTTPurchase)))))+Underwriting!$AA32),0))</f>
        <v/>
      </c>
      <c r="R33" s="31" t="str">
        <f aca="false">IF(Underwriting!$A32="","",ROUND(R$2*$C33,-3))</f>
        <v/>
      </c>
      <c r="S33" s="31" t="str">
        <f aca="false">IF(Underwriting!$A32="","",Underwriting!$T32-((R33)*(1+BuyerPremium)+IF(N(Deals!S32)=0,0,MIN(N(Deals!S32),MAX(0,N(Deals!S32)+SheriffCostsFromBid-(R33)*(1-RTTPurchase))))))</f>
        <v/>
      </c>
      <c r="T33" s="32" t="str">
        <f aca="false">IF(Underwriting!$A32="","",IFERROR(S33/(((R33)*(1+BuyerPremium)+IF(N(Deals!S32)=0,0,MIN(N(Deals!S32),MAX(0,N(Deals!S32)+SheriffCostsFromBid-(R33)*(1-RTTPurchase)))))+Underwriting!$S32)/(Underwriting!$M32/12),0))</f>
        <v/>
      </c>
      <c r="U33" s="32" t="str">
        <f aca="false">IF(Underwriting!$A32="","",IFERROR(Underwriting!$Z32/(((R33)*(1+BuyerPremium)+IF(N(Deals!S32)=0,0,MIN(N(Deals!S32),MAX(0,N(Deals!S32)+SheriffCostsFromBid-(R33)*(1-RTTPurchase)))))+Underwriting!$AA32),0))</f>
        <v/>
      </c>
      <c r="V33" s="31" t="str">
        <f aca="false">IF(Underwriting!$A32="","",ROUND(V$2*$C33,-3))</f>
        <v/>
      </c>
      <c r="W33" s="31" t="str">
        <f aca="false">IF(Underwriting!$A32="","",Underwriting!$T32-((V33)*(1+BuyerPremium)+IF(N(Deals!S32)=0,0,MIN(N(Deals!S32),MAX(0,N(Deals!S32)+SheriffCostsFromBid-(V33)*(1-RTTPurchase))))))</f>
        <v/>
      </c>
      <c r="X33" s="32" t="str">
        <f aca="false">IF(Underwriting!$A32="","",IFERROR(W33/(((V33)*(1+BuyerPremium)+IF(N(Deals!S32)=0,0,MIN(N(Deals!S32),MAX(0,N(Deals!S32)+SheriffCostsFromBid-(V33)*(1-RTTPurchase)))))+Underwriting!$S32)/(Underwriting!$M32/12),0))</f>
        <v/>
      </c>
      <c r="Y33" s="32" t="str">
        <f aca="false">IF(Underwriting!$A32="","",IFERROR(Underwriting!$Z32/(((V33)*(1+BuyerPremium)+IF(N(Deals!S32)=0,0,MIN(N(Deals!S32),MAX(0,N(Deals!S32)+SheriffCostsFromBid-(V33)*(1-RTTPurchase)))))+Underwriting!$AA32),0))</f>
        <v/>
      </c>
      <c r="Z33" s="31" t="str">
        <f aca="false">IF(Underwriting!$A32="","",ROUND(Z$2*$C33,-3))</f>
        <v/>
      </c>
      <c r="AA33" s="31" t="str">
        <f aca="false">IF(Underwriting!$A32="","",Underwriting!$T32-((Z33)*(1+BuyerPremium)+IF(N(Deals!S32)=0,0,MIN(N(Deals!S32),MAX(0,N(Deals!S32)+SheriffCostsFromBid-(Z33)*(1-RTTPurchase))))))</f>
        <v/>
      </c>
      <c r="AB33" s="32" t="str">
        <f aca="false">IF(Underwriting!$A32="","",IFERROR(AA33/(((Z33)*(1+BuyerPremium)+IF(N(Deals!S32)=0,0,MIN(N(Deals!S32),MAX(0,N(Deals!S32)+SheriffCostsFromBid-(Z33)*(1-RTTPurchase)))))+Underwriting!$S32)/(Underwriting!$M32/12),0))</f>
        <v/>
      </c>
      <c r="AC33" s="32" t="str">
        <f aca="false">IF(Underwriting!$A32="","",IFERROR(Underwriting!$Z32/(((Z33)*(1+BuyerPremium)+IF(N(Deals!S32)=0,0,MIN(N(Deals!S32),MAX(0,N(Deals!S32)+SheriffCostsFromBid-(Z33)*(1-RTTPurchase)))))+Underwriting!$AA32),0))</f>
        <v/>
      </c>
      <c r="AD33" s="31" t="str">
        <f aca="false">IF(Underwriting!$A32="","",ROUND(AD$2*$C33,-3))</f>
        <v/>
      </c>
      <c r="AE33" s="31" t="str">
        <f aca="false">IF(Underwriting!$A32="","",Underwriting!$T32-((AD33)*(1+BuyerPremium)+IF(N(Deals!S32)=0,0,MIN(N(Deals!S32),MAX(0,N(Deals!S32)+SheriffCostsFromBid-(AD33)*(1-RTTPurchase))))))</f>
        <v/>
      </c>
      <c r="AF33" s="32" t="str">
        <f aca="false">IF(Underwriting!$A32="","",IFERROR(AE33/(((AD33)*(1+BuyerPremium)+IF(N(Deals!S32)=0,0,MIN(N(Deals!S32),MAX(0,N(Deals!S32)+SheriffCostsFromBid-(AD33)*(1-RTTPurchase)))))+Underwriting!$S32)/(Underwriting!$M32/12),0))</f>
        <v/>
      </c>
      <c r="AG33" s="32" t="str">
        <f aca="false">IF(Underwriting!$A32="","",IFERROR(Underwriting!$Z32/(((AD33)*(1+BuyerPremium)+IF(N(Deals!S32)=0,0,MIN(N(Deals!S32),MAX(0,N(Deals!S32)+SheriffCostsFromBid-(AD33)*(1-RTTPurchase)))))+Underwriting!$AA32),0))</f>
        <v/>
      </c>
      <c r="AH33" s="31" t="str">
        <f aca="false">IF(Underwriting!$A32="","",$E33)</f>
        <v/>
      </c>
      <c r="AI33" s="31" t="str">
        <f aca="false">IF(Underwriting!$A32="","",Underwriting!$T32-((AH33)*(1+BuyerPremium)+IF(N(Deals!S32)=0,0,MIN(N(Deals!S32),MAX(0,N(Deals!S32)+SheriffCostsFromBid-(AH33)*(1-RTTPurchase))))))</f>
        <v/>
      </c>
      <c r="AJ33" s="32" t="str">
        <f aca="false">IF(Underwriting!$A32="","",IFERROR(AI33/(((AH33)*(1+BuyerPremium)+IF(N(Deals!S32)=0,0,MIN(N(Deals!S32),MAX(0,N(Deals!S32)+SheriffCostsFromBid-(AH33)*(1-RTTPurchase)))))+Underwriting!$S32)/(Underwriting!$M32/12),0))</f>
        <v/>
      </c>
      <c r="AK33" s="32" t="str">
        <f aca="false">IF(Underwriting!$A32="","",IFERROR(Underwriting!$Z32/(((AH33)*(1+BuyerPremium)+IF(N(Deals!S32)=0,0,MIN(N(Deals!S32),MAX(0,N(Deals!S32)+SheriffCostsFromBid-(AH33)*(1-RTTPurchase)))))+Underwriting!$AA32),0))</f>
        <v/>
      </c>
    </row>
    <row r="34" customFormat="false" ht="15" hidden="false" customHeight="true" outlineLevel="0" collapsed="false">
      <c r="A34" s="1" t="str">
        <f aca="false">Underwriting!$A33</f>
        <v/>
      </c>
      <c r="B34" s="1" t="str">
        <f aca="false">Underwriting!$B33</f>
        <v/>
      </c>
      <c r="C34" s="31" t="str">
        <f aca="false">IF(Underwriting!$A33="","",N(Deals!M33))</f>
        <v/>
      </c>
      <c r="D34" s="31" t="str">
        <f aca="false">IF(Underwriting!$A33="","",N(Deals!D33))</f>
        <v/>
      </c>
      <c r="E34" s="31" t="str">
        <f aca="false">IF(Underwriting!$A33="","",Underwriting!$D33)</f>
        <v/>
      </c>
      <c r="F34" s="31" t="str">
        <f aca="false">IF(Underwriting!$A33="","",$D34)</f>
        <v/>
      </c>
      <c r="G34" s="31" t="str">
        <f aca="false">IF(Underwriting!$A33="","",Underwriting!$T33-((F34)*(1+BuyerPremium)+IF(N(Deals!S33)=0,0,MIN(N(Deals!S33),MAX(0,N(Deals!S33)+SheriffCostsFromBid-(F34)*(1-RTTPurchase))))))</f>
        <v/>
      </c>
      <c r="H34" s="32" t="str">
        <f aca="false">IF(Underwriting!$A33="","",IFERROR(G34/(((F34)*(1+BuyerPremium)+IF(N(Deals!S33)=0,0,MIN(N(Deals!S33),MAX(0,N(Deals!S33)+SheriffCostsFromBid-(F34)*(1-RTTPurchase)))))+Underwriting!$S33)/(Underwriting!$M33/12),0))</f>
        <v/>
      </c>
      <c r="I34" s="32" t="str">
        <f aca="false">IF(Underwriting!$A33="","",IFERROR(Underwriting!$Z33/(((F34)*(1+BuyerPremium)+IF(N(Deals!S33)=0,0,MIN(N(Deals!S33),MAX(0,N(Deals!S33)+SheriffCostsFromBid-(F34)*(1-RTTPurchase)))))+Underwriting!$AA33),0))</f>
        <v/>
      </c>
      <c r="J34" s="31" t="str">
        <f aca="false">IF(Underwriting!$A33="","",ROUND(J$2*$C34,-3))</f>
        <v/>
      </c>
      <c r="K34" s="31" t="str">
        <f aca="false">IF(Underwriting!$A33="","",Underwriting!$T33-((J34)*(1+BuyerPremium)+IF(N(Deals!S33)=0,0,MIN(N(Deals!S33),MAX(0,N(Deals!S33)+SheriffCostsFromBid-(J34)*(1-RTTPurchase))))))</f>
        <v/>
      </c>
      <c r="L34" s="32" t="str">
        <f aca="false">IF(Underwriting!$A33="","",IFERROR(K34/(((J34)*(1+BuyerPremium)+IF(N(Deals!S33)=0,0,MIN(N(Deals!S33),MAX(0,N(Deals!S33)+SheriffCostsFromBid-(J34)*(1-RTTPurchase)))))+Underwriting!$S33)/(Underwriting!$M33/12),0))</f>
        <v/>
      </c>
      <c r="M34" s="32" t="str">
        <f aca="false">IF(Underwriting!$A33="","",IFERROR(Underwriting!$Z33/(((J34)*(1+BuyerPremium)+IF(N(Deals!S33)=0,0,MIN(N(Deals!S33),MAX(0,N(Deals!S33)+SheriffCostsFromBid-(J34)*(1-RTTPurchase)))))+Underwriting!$AA33),0))</f>
        <v/>
      </c>
      <c r="N34" s="31" t="str">
        <f aca="false">IF(Underwriting!$A33="","",ROUND(N$2*$C34,-3))</f>
        <v/>
      </c>
      <c r="O34" s="31" t="str">
        <f aca="false">IF(Underwriting!$A33="","",Underwriting!$T33-((N34)*(1+BuyerPremium)+IF(N(Deals!S33)=0,0,MIN(N(Deals!S33),MAX(0,N(Deals!S33)+SheriffCostsFromBid-(N34)*(1-RTTPurchase))))))</f>
        <v/>
      </c>
      <c r="P34" s="32" t="str">
        <f aca="false">IF(Underwriting!$A33="","",IFERROR(O34/(((N34)*(1+BuyerPremium)+IF(N(Deals!S33)=0,0,MIN(N(Deals!S33),MAX(0,N(Deals!S33)+SheriffCostsFromBid-(N34)*(1-RTTPurchase)))))+Underwriting!$S33)/(Underwriting!$M33/12),0))</f>
        <v/>
      </c>
      <c r="Q34" s="32" t="str">
        <f aca="false">IF(Underwriting!$A33="","",IFERROR(Underwriting!$Z33/(((N34)*(1+BuyerPremium)+IF(N(Deals!S33)=0,0,MIN(N(Deals!S33),MAX(0,N(Deals!S33)+SheriffCostsFromBid-(N34)*(1-RTTPurchase)))))+Underwriting!$AA33),0))</f>
        <v/>
      </c>
      <c r="R34" s="31" t="str">
        <f aca="false">IF(Underwriting!$A33="","",ROUND(R$2*$C34,-3))</f>
        <v/>
      </c>
      <c r="S34" s="31" t="str">
        <f aca="false">IF(Underwriting!$A33="","",Underwriting!$T33-((R34)*(1+BuyerPremium)+IF(N(Deals!S33)=0,0,MIN(N(Deals!S33),MAX(0,N(Deals!S33)+SheriffCostsFromBid-(R34)*(1-RTTPurchase))))))</f>
        <v/>
      </c>
      <c r="T34" s="32" t="str">
        <f aca="false">IF(Underwriting!$A33="","",IFERROR(S34/(((R34)*(1+BuyerPremium)+IF(N(Deals!S33)=0,0,MIN(N(Deals!S33),MAX(0,N(Deals!S33)+SheriffCostsFromBid-(R34)*(1-RTTPurchase)))))+Underwriting!$S33)/(Underwriting!$M33/12),0))</f>
        <v/>
      </c>
      <c r="U34" s="32" t="str">
        <f aca="false">IF(Underwriting!$A33="","",IFERROR(Underwriting!$Z33/(((R34)*(1+BuyerPremium)+IF(N(Deals!S33)=0,0,MIN(N(Deals!S33),MAX(0,N(Deals!S33)+SheriffCostsFromBid-(R34)*(1-RTTPurchase)))))+Underwriting!$AA33),0))</f>
        <v/>
      </c>
      <c r="V34" s="31" t="str">
        <f aca="false">IF(Underwriting!$A33="","",ROUND(V$2*$C34,-3))</f>
        <v/>
      </c>
      <c r="W34" s="31" t="str">
        <f aca="false">IF(Underwriting!$A33="","",Underwriting!$T33-((V34)*(1+BuyerPremium)+IF(N(Deals!S33)=0,0,MIN(N(Deals!S33),MAX(0,N(Deals!S33)+SheriffCostsFromBid-(V34)*(1-RTTPurchase))))))</f>
        <v/>
      </c>
      <c r="X34" s="32" t="str">
        <f aca="false">IF(Underwriting!$A33="","",IFERROR(W34/(((V34)*(1+BuyerPremium)+IF(N(Deals!S33)=0,0,MIN(N(Deals!S33),MAX(0,N(Deals!S33)+SheriffCostsFromBid-(V34)*(1-RTTPurchase)))))+Underwriting!$S33)/(Underwriting!$M33/12),0))</f>
        <v/>
      </c>
      <c r="Y34" s="32" t="str">
        <f aca="false">IF(Underwriting!$A33="","",IFERROR(Underwriting!$Z33/(((V34)*(1+BuyerPremium)+IF(N(Deals!S33)=0,0,MIN(N(Deals!S33),MAX(0,N(Deals!S33)+SheriffCostsFromBid-(V34)*(1-RTTPurchase)))))+Underwriting!$AA33),0))</f>
        <v/>
      </c>
      <c r="Z34" s="31" t="str">
        <f aca="false">IF(Underwriting!$A33="","",ROUND(Z$2*$C34,-3))</f>
        <v/>
      </c>
      <c r="AA34" s="31" t="str">
        <f aca="false">IF(Underwriting!$A33="","",Underwriting!$T33-((Z34)*(1+BuyerPremium)+IF(N(Deals!S33)=0,0,MIN(N(Deals!S33),MAX(0,N(Deals!S33)+SheriffCostsFromBid-(Z34)*(1-RTTPurchase))))))</f>
        <v/>
      </c>
      <c r="AB34" s="32" t="str">
        <f aca="false">IF(Underwriting!$A33="","",IFERROR(AA34/(((Z34)*(1+BuyerPremium)+IF(N(Deals!S33)=0,0,MIN(N(Deals!S33),MAX(0,N(Deals!S33)+SheriffCostsFromBid-(Z34)*(1-RTTPurchase)))))+Underwriting!$S33)/(Underwriting!$M33/12),0))</f>
        <v/>
      </c>
      <c r="AC34" s="32" t="str">
        <f aca="false">IF(Underwriting!$A33="","",IFERROR(Underwriting!$Z33/(((Z34)*(1+BuyerPremium)+IF(N(Deals!S33)=0,0,MIN(N(Deals!S33),MAX(0,N(Deals!S33)+SheriffCostsFromBid-(Z34)*(1-RTTPurchase)))))+Underwriting!$AA33),0))</f>
        <v/>
      </c>
      <c r="AD34" s="31" t="str">
        <f aca="false">IF(Underwriting!$A33="","",ROUND(AD$2*$C34,-3))</f>
        <v/>
      </c>
      <c r="AE34" s="31" t="str">
        <f aca="false">IF(Underwriting!$A33="","",Underwriting!$T33-((AD34)*(1+BuyerPremium)+IF(N(Deals!S33)=0,0,MIN(N(Deals!S33),MAX(0,N(Deals!S33)+SheriffCostsFromBid-(AD34)*(1-RTTPurchase))))))</f>
        <v/>
      </c>
      <c r="AF34" s="32" t="str">
        <f aca="false">IF(Underwriting!$A33="","",IFERROR(AE34/(((AD34)*(1+BuyerPremium)+IF(N(Deals!S33)=0,0,MIN(N(Deals!S33),MAX(0,N(Deals!S33)+SheriffCostsFromBid-(AD34)*(1-RTTPurchase)))))+Underwriting!$S33)/(Underwriting!$M33/12),0))</f>
        <v/>
      </c>
      <c r="AG34" s="32" t="str">
        <f aca="false">IF(Underwriting!$A33="","",IFERROR(Underwriting!$Z33/(((AD34)*(1+BuyerPremium)+IF(N(Deals!S33)=0,0,MIN(N(Deals!S33),MAX(0,N(Deals!S33)+SheriffCostsFromBid-(AD34)*(1-RTTPurchase)))))+Underwriting!$AA33),0))</f>
        <v/>
      </c>
      <c r="AH34" s="31" t="str">
        <f aca="false">IF(Underwriting!$A33="","",$E34)</f>
        <v/>
      </c>
      <c r="AI34" s="31" t="str">
        <f aca="false">IF(Underwriting!$A33="","",Underwriting!$T33-((AH34)*(1+BuyerPremium)+IF(N(Deals!S33)=0,0,MIN(N(Deals!S33),MAX(0,N(Deals!S33)+SheriffCostsFromBid-(AH34)*(1-RTTPurchase))))))</f>
        <v/>
      </c>
      <c r="AJ34" s="32" t="str">
        <f aca="false">IF(Underwriting!$A33="","",IFERROR(AI34/(((AH34)*(1+BuyerPremium)+IF(N(Deals!S33)=0,0,MIN(N(Deals!S33),MAX(0,N(Deals!S33)+SheriffCostsFromBid-(AH34)*(1-RTTPurchase)))))+Underwriting!$S33)/(Underwriting!$M33/12),0))</f>
        <v/>
      </c>
      <c r="AK34" s="32" t="str">
        <f aca="false">IF(Underwriting!$A33="","",IFERROR(Underwriting!$Z33/(((AH34)*(1+BuyerPremium)+IF(N(Deals!S33)=0,0,MIN(N(Deals!S33),MAX(0,N(Deals!S33)+SheriffCostsFromBid-(AH34)*(1-RTTPurchase)))))+Underwriting!$AA33),0))</f>
        <v/>
      </c>
    </row>
    <row r="35" customFormat="false" ht="15" hidden="false" customHeight="true" outlineLevel="0" collapsed="false">
      <c r="A35" s="1" t="str">
        <f aca="false">Underwriting!$A34</f>
        <v/>
      </c>
      <c r="B35" s="1" t="str">
        <f aca="false">Underwriting!$B34</f>
        <v/>
      </c>
      <c r="C35" s="31" t="str">
        <f aca="false">IF(Underwriting!$A34="","",N(Deals!M34))</f>
        <v/>
      </c>
      <c r="D35" s="31" t="str">
        <f aca="false">IF(Underwriting!$A34="","",N(Deals!D34))</f>
        <v/>
      </c>
      <c r="E35" s="31" t="str">
        <f aca="false">IF(Underwriting!$A34="","",Underwriting!$D34)</f>
        <v/>
      </c>
      <c r="F35" s="31" t="str">
        <f aca="false">IF(Underwriting!$A34="","",$D35)</f>
        <v/>
      </c>
      <c r="G35" s="31" t="str">
        <f aca="false">IF(Underwriting!$A34="","",Underwriting!$T34-((F35)*(1+BuyerPremium)+IF(N(Deals!S34)=0,0,MIN(N(Deals!S34),MAX(0,N(Deals!S34)+SheriffCostsFromBid-(F35)*(1-RTTPurchase))))))</f>
        <v/>
      </c>
      <c r="H35" s="32" t="str">
        <f aca="false">IF(Underwriting!$A34="","",IFERROR(G35/(((F35)*(1+BuyerPremium)+IF(N(Deals!S34)=0,0,MIN(N(Deals!S34),MAX(0,N(Deals!S34)+SheriffCostsFromBid-(F35)*(1-RTTPurchase)))))+Underwriting!$S34)/(Underwriting!$M34/12),0))</f>
        <v/>
      </c>
      <c r="I35" s="32" t="str">
        <f aca="false">IF(Underwriting!$A34="","",IFERROR(Underwriting!$Z34/(((F35)*(1+BuyerPremium)+IF(N(Deals!S34)=0,0,MIN(N(Deals!S34),MAX(0,N(Deals!S34)+SheriffCostsFromBid-(F35)*(1-RTTPurchase)))))+Underwriting!$AA34),0))</f>
        <v/>
      </c>
      <c r="J35" s="31" t="str">
        <f aca="false">IF(Underwriting!$A34="","",ROUND(J$2*$C35,-3))</f>
        <v/>
      </c>
      <c r="K35" s="31" t="str">
        <f aca="false">IF(Underwriting!$A34="","",Underwriting!$T34-((J35)*(1+BuyerPremium)+IF(N(Deals!S34)=0,0,MIN(N(Deals!S34),MAX(0,N(Deals!S34)+SheriffCostsFromBid-(J35)*(1-RTTPurchase))))))</f>
        <v/>
      </c>
      <c r="L35" s="32" t="str">
        <f aca="false">IF(Underwriting!$A34="","",IFERROR(K35/(((J35)*(1+BuyerPremium)+IF(N(Deals!S34)=0,0,MIN(N(Deals!S34),MAX(0,N(Deals!S34)+SheriffCostsFromBid-(J35)*(1-RTTPurchase)))))+Underwriting!$S34)/(Underwriting!$M34/12),0))</f>
        <v/>
      </c>
      <c r="M35" s="32" t="str">
        <f aca="false">IF(Underwriting!$A34="","",IFERROR(Underwriting!$Z34/(((J35)*(1+BuyerPremium)+IF(N(Deals!S34)=0,0,MIN(N(Deals!S34),MAX(0,N(Deals!S34)+SheriffCostsFromBid-(J35)*(1-RTTPurchase)))))+Underwriting!$AA34),0))</f>
        <v/>
      </c>
      <c r="N35" s="31" t="str">
        <f aca="false">IF(Underwriting!$A34="","",ROUND(N$2*$C35,-3))</f>
        <v/>
      </c>
      <c r="O35" s="31" t="str">
        <f aca="false">IF(Underwriting!$A34="","",Underwriting!$T34-((N35)*(1+BuyerPremium)+IF(N(Deals!S34)=0,0,MIN(N(Deals!S34),MAX(0,N(Deals!S34)+SheriffCostsFromBid-(N35)*(1-RTTPurchase))))))</f>
        <v/>
      </c>
      <c r="P35" s="32" t="str">
        <f aca="false">IF(Underwriting!$A34="","",IFERROR(O35/(((N35)*(1+BuyerPremium)+IF(N(Deals!S34)=0,0,MIN(N(Deals!S34),MAX(0,N(Deals!S34)+SheriffCostsFromBid-(N35)*(1-RTTPurchase)))))+Underwriting!$S34)/(Underwriting!$M34/12),0))</f>
        <v/>
      </c>
      <c r="Q35" s="32" t="str">
        <f aca="false">IF(Underwriting!$A34="","",IFERROR(Underwriting!$Z34/(((N35)*(1+BuyerPremium)+IF(N(Deals!S34)=0,0,MIN(N(Deals!S34),MAX(0,N(Deals!S34)+SheriffCostsFromBid-(N35)*(1-RTTPurchase)))))+Underwriting!$AA34),0))</f>
        <v/>
      </c>
      <c r="R35" s="31" t="str">
        <f aca="false">IF(Underwriting!$A34="","",ROUND(R$2*$C35,-3))</f>
        <v/>
      </c>
      <c r="S35" s="31" t="str">
        <f aca="false">IF(Underwriting!$A34="","",Underwriting!$T34-((R35)*(1+BuyerPremium)+IF(N(Deals!S34)=0,0,MIN(N(Deals!S34),MAX(0,N(Deals!S34)+SheriffCostsFromBid-(R35)*(1-RTTPurchase))))))</f>
        <v/>
      </c>
      <c r="T35" s="32" t="str">
        <f aca="false">IF(Underwriting!$A34="","",IFERROR(S35/(((R35)*(1+BuyerPremium)+IF(N(Deals!S34)=0,0,MIN(N(Deals!S34),MAX(0,N(Deals!S34)+SheriffCostsFromBid-(R35)*(1-RTTPurchase)))))+Underwriting!$S34)/(Underwriting!$M34/12),0))</f>
        <v/>
      </c>
      <c r="U35" s="32" t="str">
        <f aca="false">IF(Underwriting!$A34="","",IFERROR(Underwriting!$Z34/(((R35)*(1+BuyerPremium)+IF(N(Deals!S34)=0,0,MIN(N(Deals!S34),MAX(0,N(Deals!S34)+SheriffCostsFromBid-(R35)*(1-RTTPurchase)))))+Underwriting!$AA34),0))</f>
        <v/>
      </c>
      <c r="V35" s="31" t="str">
        <f aca="false">IF(Underwriting!$A34="","",ROUND(V$2*$C35,-3))</f>
        <v/>
      </c>
      <c r="W35" s="31" t="str">
        <f aca="false">IF(Underwriting!$A34="","",Underwriting!$T34-((V35)*(1+BuyerPremium)+IF(N(Deals!S34)=0,0,MIN(N(Deals!S34),MAX(0,N(Deals!S34)+SheriffCostsFromBid-(V35)*(1-RTTPurchase))))))</f>
        <v/>
      </c>
      <c r="X35" s="32" t="str">
        <f aca="false">IF(Underwriting!$A34="","",IFERROR(W35/(((V35)*(1+BuyerPremium)+IF(N(Deals!S34)=0,0,MIN(N(Deals!S34),MAX(0,N(Deals!S34)+SheriffCostsFromBid-(V35)*(1-RTTPurchase)))))+Underwriting!$S34)/(Underwriting!$M34/12),0))</f>
        <v/>
      </c>
      <c r="Y35" s="32" t="str">
        <f aca="false">IF(Underwriting!$A34="","",IFERROR(Underwriting!$Z34/(((V35)*(1+BuyerPremium)+IF(N(Deals!S34)=0,0,MIN(N(Deals!S34),MAX(0,N(Deals!S34)+SheriffCostsFromBid-(V35)*(1-RTTPurchase)))))+Underwriting!$AA34),0))</f>
        <v/>
      </c>
      <c r="Z35" s="31" t="str">
        <f aca="false">IF(Underwriting!$A34="","",ROUND(Z$2*$C35,-3))</f>
        <v/>
      </c>
      <c r="AA35" s="31" t="str">
        <f aca="false">IF(Underwriting!$A34="","",Underwriting!$T34-((Z35)*(1+BuyerPremium)+IF(N(Deals!S34)=0,0,MIN(N(Deals!S34),MAX(0,N(Deals!S34)+SheriffCostsFromBid-(Z35)*(1-RTTPurchase))))))</f>
        <v/>
      </c>
      <c r="AB35" s="32" t="str">
        <f aca="false">IF(Underwriting!$A34="","",IFERROR(AA35/(((Z35)*(1+BuyerPremium)+IF(N(Deals!S34)=0,0,MIN(N(Deals!S34),MAX(0,N(Deals!S34)+SheriffCostsFromBid-(Z35)*(1-RTTPurchase)))))+Underwriting!$S34)/(Underwriting!$M34/12),0))</f>
        <v/>
      </c>
      <c r="AC35" s="32" t="str">
        <f aca="false">IF(Underwriting!$A34="","",IFERROR(Underwriting!$Z34/(((Z35)*(1+BuyerPremium)+IF(N(Deals!S34)=0,0,MIN(N(Deals!S34),MAX(0,N(Deals!S34)+SheriffCostsFromBid-(Z35)*(1-RTTPurchase)))))+Underwriting!$AA34),0))</f>
        <v/>
      </c>
      <c r="AD35" s="31" t="str">
        <f aca="false">IF(Underwriting!$A34="","",ROUND(AD$2*$C35,-3))</f>
        <v/>
      </c>
      <c r="AE35" s="31" t="str">
        <f aca="false">IF(Underwriting!$A34="","",Underwriting!$T34-((AD35)*(1+BuyerPremium)+IF(N(Deals!S34)=0,0,MIN(N(Deals!S34),MAX(0,N(Deals!S34)+SheriffCostsFromBid-(AD35)*(1-RTTPurchase))))))</f>
        <v/>
      </c>
      <c r="AF35" s="32" t="str">
        <f aca="false">IF(Underwriting!$A34="","",IFERROR(AE35/(((AD35)*(1+BuyerPremium)+IF(N(Deals!S34)=0,0,MIN(N(Deals!S34),MAX(0,N(Deals!S34)+SheriffCostsFromBid-(AD35)*(1-RTTPurchase)))))+Underwriting!$S34)/(Underwriting!$M34/12),0))</f>
        <v/>
      </c>
      <c r="AG35" s="32" t="str">
        <f aca="false">IF(Underwriting!$A34="","",IFERROR(Underwriting!$Z34/(((AD35)*(1+BuyerPremium)+IF(N(Deals!S34)=0,0,MIN(N(Deals!S34),MAX(0,N(Deals!S34)+SheriffCostsFromBid-(AD35)*(1-RTTPurchase)))))+Underwriting!$AA34),0))</f>
        <v/>
      </c>
      <c r="AH35" s="31" t="str">
        <f aca="false">IF(Underwriting!$A34="","",$E35)</f>
        <v/>
      </c>
      <c r="AI35" s="31" t="str">
        <f aca="false">IF(Underwriting!$A34="","",Underwriting!$T34-((AH35)*(1+BuyerPremium)+IF(N(Deals!S34)=0,0,MIN(N(Deals!S34),MAX(0,N(Deals!S34)+SheriffCostsFromBid-(AH35)*(1-RTTPurchase))))))</f>
        <v/>
      </c>
      <c r="AJ35" s="32" t="str">
        <f aca="false">IF(Underwriting!$A34="","",IFERROR(AI35/(((AH35)*(1+BuyerPremium)+IF(N(Deals!S34)=0,0,MIN(N(Deals!S34),MAX(0,N(Deals!S34)+SheriffCostsFromBid-(AH35)*(1-RTTPurchase)))))+Underwriting!$S34)/(Underwriting!$M34/12),0))</f>
        <v/>
      </c>
      <c r="AK35" s="32" t="str">
        <f aca="false">IF(Underwriting!$A34="","",IFERROR(Underwriting!$Z34/(((AH35)*(1+BuyerPremium)+IF(N(Deals!S34)=0,0,MIN(N(Deals!S34),MAX(0,N(Deals!S34)+SheriffCostsFromBid-(AH35)*(1-RTTPurchase)))))+Underwriting!$AA34),0))</f>
        <v/>
      </c>
    </row>
    <row r="36" customFormat="false" ht="15" hidden="false" customHeight="true" outlineLevel="0" collapsed="false">
      <c r="A36" s="1" t="str">
        <f aca="false">Underwriting!$A35</f>
        <v/>
      </c>
      <c r="B36" s="1" t="str">
        <f aca="false">Underwriting!$B35</f>
        <v/>
      </c>
      <c r="C36" s="31" t="str">
        <f aca="false">IF(Underwriting!$A35="","",N(Deals!M35))</f>
        <v/>
      </c>
      <c r="D36" s="31" t="str">
        <f aca="false">IF(Underwriting!$A35="","",N(Deals!D35))</f>
        <v/>
      </c>
      <c r="E36" s="31" t="str">
        <f aca="false">IF(Underwriting!$A35="","",Underwriting!$D35)</f>
        <v/>
      </c>
      <c r="F36" s="31" t="str">
        <f aca="false">IF(Underwriting!$A35="","",$D36)</f>
        <v/>
      </c>
      <c r="G36" s="31" t="str">
        <f aca="false">IF(Underwriting!$A35="","",Underwriting!$T35-((F36)*(1+BuyerPremium)+IF(N(Deals!S35)=0,0,MIN(N(Deals!S35),MAX(0,N(Deals!S35)+SheriffCostsFromBid-(F36)*(1-RTTPurchase))))))</f>
        <v/>
      </c>
      <c r="H36" s="32" t="str">
        <f aca="false">IF(Underwriting!$A35="","",IFERROR(G36/(((F36)*(1+BuyerPremium)+IF(N(Deals!S35)=0,0,MIN(N(Deals!S35),MAX(0,N(Deals!S35)+SheriffCostsFromBid-(F36)*(1-RTTPurchase)))))+Underwriting!$S35)/(Underwriting!$M35/12),0))</f>
        <v/>
      </c>
      <c r="I36" s="32" t="str">
        <f aca="false">IF(Underwriting!$A35="","",IFERROR(Underwriting!$Z35/(((F36)*(1+BuyerPremium)+IF(N(Deals!S35)=0,0,MIN(N(Deals!S35),MAX(0,N(Deals!S35)+SheriffCostsFromBid-(F36)*(1-RTTPurchase)))))+Underwriting!$AA35),0))</f>
        <v/>
      </c>
      <c r="J36" s="31" t="str">
        <f aca="false">IF(Underwriting!$A35="","",ROUND(J$2*$C36,-3))</f>
        <v/>
      </c>
      <c r="K36" s="31" t="str">
        <f aca="false">IF(Underwriting!$A35="","",Underwriting!$T35-((J36)*(1+BuyerPremium)+IF(N(Deals!S35)=0,0,MIN(N(Deals!S35),MAX(0,N(Deals!S35)+SheriffCostsFromBid-(J36)*(1-RTTPurchase))))))</f>
        <v/>
      </c>
      <c r="L36" s="32" t="str">
        <f aca="false">IF(Underwriting!$A35="","",IFERROR(K36/(((J36)*(1+BuyerPremium)+IF(N(Deals!S35)=0,0,MIN(N(Deals!S35),MAX(0,N(Deals!S35)+SheriffCostsFromBid-(J36)*(1-RTTPurchase)))))+Underwriting!$S35)/(Underwriting!$M35/12),0))</f>
        <v/>
      </c>
      <c r="M36" s="32" t="str">
        <f aca="false">IF(Underwriting!$A35="","",IFERROR(Underwriting!$Z35/(((J36)*(1+BuyerPremium)+IF(N(Deals!S35)=0,0,MIN(N(Deals!S35),MAX(0,N(Deals!S35)+SheriffCostsFromBid-(J36)*(1-RTTPurchase)))))+Underwriting!$AA35),0))</f>
        <v/>
      </c>
      <c r="N36" s="31" t="str">
        <f aca="false">IF(Underwriting!$A35="","",ROUND(N$2*$C36,-3))</f>
        <v/>
      </c>
      <c r="O36" s="31" t="str">
        <f aca="false">IF(Underwriting!$A35="","",Underwriting!$T35-((N36)*(1+BuyerPremium)+IF(N(Deals!S35)=0,0,MIN(N(Deals!S35),MAX(0,N(Deals!S35)+SheriffCostsFromBid-(N36)*(1-RTTPurchase))))))</f>
        <v/>
      </c>
      <c r="P36" s="32" t="str">
        <f aca="false">IF(Underwriting!$A35="","",IFERROR(O36/(((N36)*(1+BuyerPremium)+IF(N(Deals!S35)=0,0,MIN(N(Deals!S35),MAX(0,N(Deals!S35)+SheriffCostsFromBid-(N36)*(1-RTTPurchase)))))+Underwriting!$S35)/(Underwriting!$M35/12),0))</f>
        <v/>
      </c>
      <c r="Q36" s="32" t="str">
        <f aca="false">IF(Underwriting!$A35="","",IFERROR(Underwriting!$Z35/(((N36)*(1+BuyerPremium)+IF(N(Deals!S35)=0,0,MIN(N(Deals!S35),MAX(0,N(Deals!S35)+SheriffCostsFromBid-(N36)*(1-RTTPurchase)))))+Underwriting!$AA35),0))</f>
        <v/>
      </c>
      <c r="R36" s="31" t="str">
        <f aca="false">IF(Underwriting!$A35="","",ROUND(R$2*$C36,-3))</f>
        <v/>
      </c>
      <c r="S36" s="31" t="str">
        <f aca="false">IF(Underwriting!$A35="","",Underwriting!$T35-((R36)*(1+BuyerPremium)+IF(N(Deals!S35)=0,0,MIN(N(Deals!S35),MAX(0,N(Deals!S35)+SheriffCostsFromBid-(R36)*(1-RTTPurchase))))))</f>
        <v/>
      </c>
      <c r="T36" s="32" t="str">
        <f aca="false">IF(Underwriting!$A35="","",IFERROR(S36/(((R36)*(1+BuyerPremium)+IF(N(Deals!S35)=0,0,MIN(N(Deals!S35),MAX(0,N(Deals!S35)+SheriffCostsFromBid-(R36)*(1-RTTPurchase)))))+Underwriting!$S35)/(Underwriting!$M35/12),0))</f>
        <v/>
      </c>
      <c r="U36" s="32" t="str">
        <f aca="false">IF(Underwriting!$A35="","",IFERROR(Underwriting!$Z35/(((R36)*(1+BuyerPremium)+IF(N(Deals!S35)=0,0,MIN(N(Deals!S35),MAX(0,N(Deals!S35)+SheriffCostsFromBid-(R36)*(1-RTTPurchase)))))+Underwriting!$AA35),0))</f>
        <v/>
      </c>
      <c r="V36" s="31" t="str">
        <f aca="false">IF(Underwriting!$A35="","",ROUND(V$2*$C36,-3))</f>
        <v/>
      </c>
      <c r="W36" s="31" t="str">
        <f aca="false">IF(Underwriting!$A35="","",Underwriting!$T35-((V36)*(1+BuyerPremium)+IF(N(Deals!S35)=0,0,MIN(N(Deals!S35),MAX(0,N(Deals!S35)+SheriffCostsFromBid-(V36)*(1-RTTPurchase))))))</f>
        <v/>
      </c>
      <c r="X36" s="32" t="str">
        <f aca="false">IF(Underwriting!$A35="","",IFERROR(W36/(((V36)*(1+BuyerPremium)+IF(N(Deals!S35)=0,0,MIN(N(Deals!S35),MAX(0,N(Deals!S35)+SheriffCostsFromBid-(V36)*(1-RTTPurchase)))))+Underwriting!$S35)/(Underwriting!$M35/12),0))</f>
        <v/>
      </c>
      <c r="Y36" s="32" t="str">
        <f aca="false">IF(Underwriting!$A35="","",IFERROR(Underwriting!$Z35/(((V36)*(1+BuyerPremium)+IF(N(Deals!S35)=0,0,MIN(N(Deals!S35),MAX(0,N(Deals!S35)+SheriffCostsFromBid-(V36)*(1-RTTPurchase)))))+Underwriting!$AA35),0))</f>
        <v/>
      </c>
      <c r="Z36" s="31" t="str">
        <f aca="false">IF(Underwriting!$A35="","",ROUND(Z$2*$C36,-3))</f>
        <v/>
      </c>
      <c r="AA36" s="31" t="str">
        <f aca="false">IF(Underwriting!$A35="","",Underwriting!$T35-((Z36)*(1+BuyerPremium)+IF(N(Deals!S35)=0,0,MIN(N(Deals!S35),MAX(0,N(Deals!S35)+SheriffCostsFromBid-(Z36)*(1-RTTPurchase))))))</f>
        <v/>
      </c>
      <c r="AB36" s="32" t="str">
        <f aca="false">IF(Underwriting!$A35="","",IFERROR(AA36/(((Z36)*(1+BuyerPremium)+IF(N(Deals!S35)=0,0,MIN(N(Deals!S35),MAX(0,N(Deals!S35)+SheriffCostsFromBid-(Z36)*(1-RTTPurchase)))))+Underwriting!$S35)/(Underwriting!$M35/12),0))</f>
        <v/>
      </c>
      <c r="AC36" s="32" t="str">
        <f aca="false">IF(Underwriting!$A35="","",IFERROR(Underwriting!$Z35/(((Z36)*(1+BuyerPremium)+IF(N(Deals!S35)=0,0,MIN(N(Deals!S35),MAX(0,N(Deals!S35)+SheriffCostsFromBid-(Z36)*(1-RTTPurchase)))))+Underwriting!$AA35),0))</f>
        <v/>
      </c>
      <c r="AD36" s="31" t="str">
        <f aca="false">IF(Underwriting!$A35="","",ROUND(AD$2*$C36,-3))</f>
        <v/>
      </c>
      <c r="AE36" s="31" t="str">
        <f aca="false">IF(Underwriting!$A35="","",Underwriting!$T35-((AD36)*(1+BuyerPremium)+IF(N(Deals!S35)=0,0,MIN(N(Deals!S35),MAX(0,N(Deals!S35)+SheriffCostsFromBid-(AD36)*(1-RTTPurchase))))))</f>
        <v/>
      </c>
      <c r="AF36" s="32" t="str">
        <f aca="false">IF(Underwriting!$A35="","",IFERROR(AE36/(((AD36)*(1+BuyerPremium)+IF(N(Deals!S35)=0,0,MIN(N(Deals!S35),MAX(0,N(Deals!S35)+SheriffCostsFromBid-(AD36)*(1-RTTPurchase)))))+Underwriting!$S35)/(Underwriting!$M35/12),0))</f>
        <v/>
      </c>
      <c r="AG36" s="32" t="str">
        <f aca="false">IF(Underwriting!$A35="","",IFERROR(Underwriting!$Z35/(((AD36)*(1+BuyerPremium)+IF(N(Deals!S35)=0,0,MIN(N(Deals!S35),MAX(0,N(Deals!S35)+SheriffCostsFromBid-(AD36)*(1-RTTPurchase)))))+Underwriting!$AA35),0))</f>
        <v/>
      </c>
      <c r="AH36" s="31" t="str">
        <f aca="false">IF(Underwriting!$A35="","",$E36)</f>
        <v/>
      </c>
      <c r="AI36" s="31" t="str">
        <f aca="false">IF(Underwriting!$A35="","",Underwriting!$T35-((AH36)*(1+BuyerPremium)+IF(N(Deals!S35)=0,0,MIN(N(Deals!S35),MAX(0,N(Deals!S35)+SheriffCostsFromBid-(AH36)*(1-RTTPurchase))))))</f>
        <v/>
      </c>
      <c r="AJ36" s="32" t="str">
        <f aca="false">IF(Underwriting!$A35="","",IFERROR(AI36/(((AH36)*(1+BuyerPremium)+IF(N(Deals!S35)=0,0,MIN(N(Deals!S35),MAX(0,N(Deals!S35)+SheriffCostsFromBid-(AH36)*(1-RTTPurchase)))))+Underwriting!$S35)/(Underwriting!$M35/12),0))</f>
        <v/>
      </c>
      <c r="AK36" s="32" t="str">
        <f aca="false">IF(Underwriting!$A35="","",IFERROR(Underwriting!$Z35/(((AH36)*(1+BuyerPremium)+IF(N(Deals!S35)=0,0,MIN(N(Deals!S35),MAX(0,N(Deals!S35)+SheriffCostsFromBid-(AH36)*(1-RTTPurchase)))))+Underwriting!$AA35),0))</f>
        <v/>
      </c>
    </row>
    <row r="37" customFormat="false" ht="15" hidden="false" customHeight="true" outlineLevel="0" collapsed="false">
      <c r="A37" s="1" t="str">
        <f aca="false">Underwriting!$A36</f>
        <v/>
      </c>
      <c r="B37" s="1" t="str">
        <f aca="false">Underwriting!$B36</f>
        <v/>
      </c>
      <c r="C37" s="31" t="str">
        <f aca="false">IF(Underwriting!$A36="","",N(Deals!M36))</f>
        <v/>
      </c>
      <c r="D37" s="31" t="str">
        <f aca="false">IF(Underwriting!$A36="","",N(Deals!D36))</f>
        <v/>
      </c>
      <c r="E37" s="31" t="str">
        <f aca="false">IF(Underwriting!$A36="","",Underwriting!$D36)</f>
        <v/>
      </c>
      <c r="F37" s="31" t="str">
        <f aca="false">IF(Underwriting!$A36="","",$D37)</f>
        <v/>
      </c>
      <c r="G37" s="31" t="str">
        <f aca="false">IF(Underwriting!$A36="","",Underwriting!$T36-((F37)*(1+BuyerPremium)+IF(N(Deals!S36)=0,0,MIN(N(Deals!S36),MAX(0,N(Deals!S36)+SheriffCostsFromBid-(F37)*(1-RTTPurchase))))))</f>
        <v/>
      </c>
      <c r="H37" s="32" t="str">
        <f aca="false">IF(Underwriting!$A36="","",IFERROR(G37/(((F37)*(1+BuyerPremium)+IF(N(Deals!S36)=0,0,MIN(N(Deals!S36),MAX(0,N(Deals!S36)+SheriffCostsFromBid-(F37)*(1-RTTPurchase)))))+Underwriting!$S36)/(Underwriting!$M36/12),0))</f>
        <v/>
      </c>
      <c r="I37" s="32" t="str">
        <f aca="false">IF(Underwriting!$A36="","",IFERROR(Underwriting!$Z36/(((F37)*(1+BuyerPremium)+IF(N(Deals!S36)=0,0,MIN(N(Deals!S36),MAX(0,N(Deals!S36)+SheriffCostsFromBid-(F37)*(1-RTTPurchase)))))+Underwriting!$AA36),0))</f>
        <v/>
      </c>
      <c r="J37" s="31" t="str">
        <f aca="false">IF(Underwriting!$A36="","",ROUND(J$2*$C37,-3))</f>
        <v/>
      </c>
      <c r="K37" s="31" t="str">
        <f aca="false">IF(Underwriting!$A36="","",Underwriting!$T36-((J37)*(1+BuyerPremium)+IF(N(Deals!S36)=0,0,MIN(N(Deals!S36),MAX(0,N(Deals!S36)+SheriffCostsFromBid-(J37)*(1-RTTPurchase))))))</f>
        <v/>
      </c>
      <c r="L37" s="32" t="str">
        <f aca="false">IF(Underwriting!$A36="","",IFERROR(K37/(((J37)*(1+BuyerPremium)+IF(N(Deals!S36)=0,0,MIN(N(Deals!S36),MAX(0,N(Deals!S36)+SheriffCostsFromBid-(J37)*(1-RTTPurchase)))))+Underwriting!$S36)/(Underwriting!$M36/12),0))</f>
        <v/>
      </c>
      <c r="M37" s="32" t="str">
        <f aca="false">IF(Underwriting!$A36="","",IFERROR(Underwriting!$Z36/(((J37)*(1+BuyerPremium)+IF(N(Deals!S36)=0,0,MIN(N(Deals!S36),MAX(0,N(Deals!S36)+SheriffCostsFromBid-(J37)*(1-RTTPurchase)))))+Underwriting!$AA36),0))</f>
        <v/>
      </c>
      <c r="N37" s="31" t="str">
        <f aca="false">IF(Underwriting!$A36="","",ROUND(N$2*$C37,-3))</f>
        <v/>
      </c>
      <c r="O37" s="31" t="str">
        <f aca="false">IF(Underwriting!$A36="","",Underwriting!$T36-((N37)*(1+BuyerPremium)+IF(N(Deals!S36)=0,0,MIN(N(Deals!S36),MAX(0,N(Deals!S36)+SheriffCostsFromBid-(N37)*(1-RTTPurchase))))))</f>
        <v/>
      </c>
      <c r="P37" s="32" t="str">
        <f aca="false">IF(Underwriting!$A36="","",IFERROR(O37/(((N37)*(1+BuyerPremium)+IF(N(Deals!S36)=0,0,MIN(N(Deals!S36),MAX(0,N(Deals!S36)+SheriffCostsFromBid-(N37)*(1-RTTPurchase)))))+Underwriting!$S36)/(Underwriting!$M36/12),0))</f>
        <v/>
      </c>
      <c r="Q37" s="32" t="str">
        <f aca="false">IF(Underwriting!$A36="","",IFERROR(Underwriting!$Z36/(((N37)*(1+BuyerPremium)+IF(N(Deals!S36)=0,0,MIN(N(Deals!S36),MAX(0,N(Deals!S36)+SheriffCostsFromBid-(N37)*(1-RTTPurchase)))))+Underwriting!$AA36),0))</f>
        <v/>
      </c>
      <c r="R37" s="31" t="str">
        <f aca="false">IF(Underwriting!$A36="","",ROUND(R$2*$C37,-3))</f>
        <v/>
      </c>
      <c r="S37" s="31" t="str">
        <f aca="false">IF(Underwriting!$A36="","",Underwriting!$T36-((R37)*(1+BuyerPremium)+IF(N(Deals!S36)=0,0,MIN(N(Deals!S36),MAX(0,N(Deals!S36)+SheriffCostsFromBid-(R37)*(1-RTTPurchase))))))</f>
        <v/>
      </c>
      <c r="T37" s="32" t="str">
        <f aca="false">IF(Underwriting!$A36="","",IFERROR(S37/(((R37)*(1+BuyerPremium)+IF(N(Deals!S36)=0,0,MIN(N(Deals!S36),MAX(0,N(Deals!S36)+SheriffCostsFromBid-(R37)*(1-RTTPurchase)))))+Underwriting!$S36)/(Underwriting!$M36/12),0))</f>
        <v/>
      </c>
      <c r="U37" s="32" t="str">
        <f aca="false">IF(Underwriting!$A36="","",IFERROR(Underwriting!$Z36/(((R37)*(1+BuyerPremium)+IF(N(Deals!S36)=0,0,MIN(N(Deals!S36),MAX(0,N(Deals!S36)+SheriffCostsFromBid-(R37)*(1-RTTPurchase)))))+Underwriting!$AA36),0))</f>
        <v/>
      </c>
      <c r="V37" s="31" t="str">
        <f aca="false">IF(Underwriting!$A36="","",ROUND(V$2*$C37,-3))</f>
        <v/>
      </c>
      <c r="W37" s="31" t="str">
        <f aca="false">IF(Underwriting!$A36="","",Underwriting!$T36-((V37)*(1+BuyerPremium)+IF(N(Deals!S36)=0,0,MIN(N(Deals!S36),MAX(0,N(Deals!S36)+SheriffCostsFromBid-(V37)*(1-RTTPurchase))))))</f>
        <v/>
      </c>
      <c r="X37" s="32" t="str">
        <f aca="false">IF(Underwriting!$A36="","",IFERROR(W37/(((V37)*(1+BuyerPremium)+IF(N(Deals!S36)=0,0,MIN(N(Deals!S36),MAX(0,N(Deals!S36)+SheriffCostsFromBid-(V37)*(1-RTTPurchase)))))+Underwriting!$S36)/(Underwriting!$M36/12),0))</f>
        <v/>
      </c>
      <c r="Y37" s="32" t="str">
        <f aca="false">IF(Underwriting!$A36="","",IFERROR(Underwriting!$Z36/(((V37)*(1+BuyerPremium)+IF(N(Deals!S36)=0,0,MIN(N(Deals!S36),MAX(0,N(Deals!S36)+SheriffCostsFromBid-(V37)*(1-RTTPurchase)))))+Underwriting!$AA36),0))</f>
        <v/>
      </c>
      <c r="Z37" s="31" t="str">
        <f aca="false">IF(Underwriting!$A36="","",ROUND(Z$2*$C37,-3))</f>
        <v/>
      </c>
      <c r="AA37" s="31" t="str">
        <f aca="false">IF(Underwriting!$A36="","",Underwriting!$T36-((Z37)*(1+BuyerPremium)+IF(N(Deals!S36)=0,0,MIN(N(Deals!S36),MAX(0,N(Deals!S36)+SheriffCostsFromBid-(Z37)*(1-RTTPurchase))))))</f>
        <v/>
      </c>
      <c r="AB37" s="32" t="str">
        <f aca="false">IF(Underwriting!$A36="","",IFERROR(AA37/(((Z37)*(1+BuyerPremium)+IF(N(Deals!S36)=0,0,MIN(N(Deals!S36),MAX(0,N(Deals!S36)+SheriffCostsFromBid-(Z37)*(1-RTTPurchase)))))+Underwriting!$S36)/(Underwriting!$M36/12),0))</f>
        <v/>
      </c>
      <c r="AC37" s="32" t="str">
        <f aca="false">IF(Underwriting!$A36="","",IFERROR(Underwriting!$Z36/(((Z37)*(1+BuyerPremium)+IF(N(Deals!S36)=0,0,MIN(N(Deals!S36),MAX(0,N(Deals!S36)+SheriffCostsFromBid-(Z37)*(1-RTTPurchase)))))+Underwriting!$AA36),0))</f>
        <v/>
      </c>
      <c r="AD37" s="31" t="str">
        <f aca="false">IF(Underwriting!$A36="","",ROUND(AD$2*$C37,-3))</f>
        <v/>
      </c>
      <c r="AE37" s="31" t="str">
        <f aca="false">IF(Underwriting!$A36="","",Underwriting!$T36-((AD37)*(1+BuyerPremium)+IF(N(Deals!S36)=0,0,MIN(N(Deals!S36),MAX(0,N(Deals!S36)+SheriffCostsFromBid-(AD37)*(1-RTTPurchase))))))</f>
        <v/>
      </c>
      <c r="AF37" s="32" t="str">
        <f aca="false">IF(Underwriting!$A36="","",IFERROR(AE37/(((AD37)*(1+BuyerPremium)+IF(N(Deals!S36)=0,0,MIN(N(Deals!S36),MAX(0,N(Deals!S36)+SheriffCostsFromBid-(AD37)*(1-RTTPurchase)))))+Underwriting!$S36)/(Underwriting!$M36/12),0))</f>
        <v/>
      </c>
      <c r="AG37" s="32" t="str">
        <f aca="false">IF(Underwriting!$A36="","",IFERROR(Underwriting!$Z36/(((AD37)*(1+BuyerPremium)+IF(N(Deals!S36)=0,0,MIN(N(Deals!S36),MAX(0,N(Deals!S36)+SheriffCostsFromBid-(AD37)*(1-RTTPurchase)))))+Underwriting!$AA36),0))</f>
        <v/>
      </c>
      <c r="AH37" s="31" t="str">
        <f aca="false">IF(Underwriting!$A36="","",$E37)</f>
        <v/>
      </c>
      <c r="AI37" s="31" t="str">
        <f aca="false">IF(Underwriting!$A36="","",Underwriting!$T36-((AH37)*(1+BuyerPremium)+IF(N(Deals!S36)=0,0,MIN(N(Deals!S36),MAX(0,N(Deals!S36)+SheriffCostsFromBid-(AH37)*(1-RTTPurchase))))))</f>
        <v/>
      </c>
      <c r="AJ37" s="32" t="str">
        <f aca="false">IF(Underwriting!$A36="","",IFERROR(AI37/(((AH37)*(1+BuyerPremium)+IF(N(Deals!S36)=0,0,MIN(N(Deals!S36),MAX(0,N(Deals!S36)+SheriffCostsFromBid-(AH37)*(1-RTTPurchase)))))+Underwriting!$S36)/(Underwriting!$M36/12),0))</f>
        <v/>
      </c>
      <c r="AK37" s="32" t="str">
        <f aca="false">IF(Underwriting!$A36="","",IFERROR(Underwriting!$Z36/(((AH37)*(1+BuyerPremium)+IF(N(Deals!S36)=0,0,MIN(N(Deals!S36),MAX(0,N(Deals!S36)+SheriffCostsFromBid-(AH37)*(1-RTTPurchase)))))+Underwriting!$AA36),0))</f>
        <v/>
      </c>
    </row>
    <row r="38" customFormat="false" ht="15" hidden="false" customHeight="true" outlineLevel="0" collapsed="false">
      <c r="A38" s="1" t="str">
        <f aca="false">Underwriting!$A37</f>
        <v/>
      </c>
      <c r="B38" s="1" t="str">
        <f aca="false">Underwriting!$B37</f>
        <v/>
      </c>
      <c r="C38" s="31" t="str">
        <f aca="false">IF(Underwriting!$A37="","",N(Deals!M37))</f>
        <v/>
      </c>
      <c r="D38" s="31" t="str">
        <f aca="false">IF(Underwriting!$A37="","",N(Deals!D37))</f>
        <v/>
      </c>
      <c r="E38" s="31" t="str">
        <f aca="false">IF(Underwriting!$A37="","",Underwriting!$D37)</f>
        <v/>
      </c>
      <c r="F38" s="31" t="str">
        <f aca="false">IF(Underwriting!$A37="","",$D38)</f>
        <v/>
      </c>
      <c r="G38" s="31" t="str">
        <f aca="false">IF(Underwriting!$A37="","",Underwriting!$T37-((F38)*(1+BuyerPremium)+IF(N(Deals!S37)=0,0,MIN(N(Deals!S37),MAX(0,N(Deals!S37)+SheriffCostsFromBid-(F38)*(1-RTTPurchase))))))</f>
        <v/>
      </c>
      <c r="H38" s="32" t="str">
        <f aca="false">IF(Underwriting!$A37="","",IFERROR(G38/(((F38)*(1+BuyerPremium)+IF(N(Deals!S37)=0,0,MIN(N(Deals!S37),MAX(0,N(Deals!S37)+SheriffCostsFromBid-(F38)*(1-RTTPurchase)))))+Underwriting!$S37)/(Underwriting!$M37/12),0))</f>
        <v/>
      </c>
      <c r="I38" s="32" t="str">
        <f aca="false">IF(Underwriting!$A37="","",IFERROR(Underwriting!$Z37/(((F38)*(1+BuyerPremium)+IF(N(Deals!S37)=0,0,MIN(N(Deals!S37),MAX(0,N(Deals!S37)+SheriffCostsFromBid-(F38)*(1-RTTPurchase)))))+Underwriting!$AA37),0))</f>
        <v/>
      </c>
      <c r="J38" s="31" t="str">
        <f aca="false">IF(Underwriting!$A37="","",ROUND(J$2*$C38,-3))</f>
        <v/>
      </c>
      <c r="K38" s="31" t="str">
        <f aca="false">IF(Underwriting!$A37="","",Underwriting!$T37-((J38)*(1+BuyerPremium)+IF(N(Deals!S37)=0,0,MIN(N(Deals!S37),MAX(0,N(Deals!S37)+SheriffCostsFromBid-(J38)*(1-RTTPurchase))))))</f>
        <v/>
      </c>
      <c r="L38" s="32" t="str">
        <f aca="false">IF(Underwriting!$A37="","",IFERROR(K38/(((J38)*(1+BuyerPremium)+IF(N(Deals!S37)=0,0,MIN(N(Deals!S37),MAX(0,N(Deals!S37)+SheriffCostsFromBid-(J38)*(1-RTTPurchase)))))+Underwriting!$S37)/(Underwriting!$M37/12),0))</f>
        <v/>
      </c>
      <c r="M38" s="32" t="str">
        <f aca="false">IF(Underwriting!$A37="","",IFERROR(Underwriting!$Z37/(((J38)*(1+BuyerPremium)+IF(N(Deals!S37)=0,0,MIN(N(Deals!S37),MAX(0,N(Deals!S37)+SheriffCostsFromBid-(J38)*(1-RTTPurchase)))))+Underwriting!$AA37),0))</f>
        <v/>
      </c>
      <c r="N38" s="31" t="str">
        <f aca="false">IF(Underwriting!$A37="","",ROUND(N$2*$C38,-3))</f>
        <v/>
      </c>
      <c r="O38" s="31" t="str">
        <f aca="false">IF(Underwriting!$A37="","",Underwriting!$T37-((N38)*(1+BuyerPremium)+IF(N(Deals!S37)=0,0,MIN(N(Deals!S37),MAX(0,N(Deals!S37)+SheriffCostsFromBid-(N38)*(1-RTTPurchase))))))</f>
        <v/>
      </c>
      <c r="P38" s="32" t="str">
        <f aca="false">IF(Underwriting!$A37="","",IFERROR(O38/(((N38)*(1+BuyerPremium)+IF(N(Deals!S37)=0,0,MIN(N(Deals!S37),MAX(0,N(Deals!S37)+SheriffCostsFromBid-(N38)*(1-RTTPurchase)))))+Underwriting!$S37)/(Underwriting!$M37/12),0))</f>
        <v/>
      </c>
      <c r="Q38" s="32" t="str">
        <f aca="false">IF(Underwriting!$A37="","",IFERROR(Underwriting!$Z37/(((N38)*(1+BuyerPremium)+IF(N(Deals!S37)=0,0,MIN(N(Deals!S37),MAX(0,N(Deals!S37)+SheriffCostsFromBid-(N38)*(1-RTTPurchase)))))+Underwriting!$AA37),0))</f>
        <v/>
      </c>
      <c r="R38" s="31" t="str">
        <f aca="false">IF(Underwriting!$A37="","",ROUND(R$2*$C38,-3))</f>
        <v/>
      </c>
      <c r="S38" s="31" t="str">
        <f aca="false">IF(Underwriting!$A37="","",Underwriting!$T37-((R38)*(1+BuyerPremium)+IF(N(Deals!S37)=0,0,MIN(N(Deals!S37),MAX(0,N(Deals!S37)+SheriffCostsFromBid-(R38)*(1-RTTPurchase))))))</f>
        <v/>
      </c>
      <c r="T38" s="32" t="str">
        <f aca="false">IF(Underwriting!$A37="","",IFERROR(S38/(((R38)*(1+BuyerPremium)+IF(N(Deals!S37)=0,0,MIN(N(Deals!S37),MAX(0,N(Deals!S37)+SheriffCostsFromBid-(R38)*(1-RTTPurchase)))))+Underwriting!$S37)/(Underwriting!$M37/12),0))</f>
        <v/>
      </c>
      <c r="U38" s="32" t="str">
        <f aca="false">IF(Underwriting!$A37="","",IFERROR(Underwriting!$Z37/(((R38)*(1+BuyerPremium)+IF(N(Deals!S37)=0,0,MIN(N(Deals!S37),MAX(0,N(Deals!S37)+SheriffCostsFromBid-(R38)*(1-RTTPurchase)))))+Underwriting!$AA37),0))</f>
        <v/>
      </c>
      <c r="V38" s="31" t="str">
        <f aca="false">IF(Underwriting!$A37="","",ROUND(V$2*$C38,-3))</f>
        <v/>
      </c>
      <c r="W38" s="31" t="str">
        <f aca="false">IF(Underwriting!$A37="","",Underwriting!$T37-((V38)*(1+BuyerPremium)+IF(N(Deals!S37)=0,0,MIN(N(Deals!S37),MAX(0,N(Deals!S37)+SheriffCostsFromBid-(V38)*(1-RTTPurchase))))))</f>
        <v/>
      </c>
      <c r="X38" s="32" t="str">
        <f aca="false">IF(Underwriting!$A37="","",IFERROR(W38/(((V38)*(1+BuyerPremium)+IF(N(Deals!S37)=0,0,MIN(N(Deals!S37),MAX(0,N(Deals!S37)+SheriffCostsFromBid-(V38)*(1-RTTPurchase)))))+Underwriting!$S37)/(Underwriting!$M37/12),0))</f>
        <v/>
      </c>
      <c r="Y38" s="32" t="str">
        <f aca="false">IF(Underwriting!$A37="","",IFERROR(Underwriting!$Z37/(((V38)*(1+BuyerPremium)+IF(N(Deals!S37)=0,0,MIN(N(Deals!S37),MAX(0,N(Deals!S37)+SheriffCostsFromBid-(V38)*(1-RTTPurchase)))))+Underwriting!$AA37),0))</f>
        <v/>
      </c>
      <c r="Z38" s="31" t="str">
        <f aca="false">IF(Underwriting!$A37="","",ROUND(Z$2*$C38,-3))</f>
        <v/>
      </c>
      <c r="AA38" s="31" t="str">
        <f aca="false">IF(Underwriting!$A37="","",Underwriting!$T37-((Z38)*(1+BuyerPremium)+IF(N(Deals!S37)=0,0,MIN(N(Deals!S37),MAX(0,N(Deals!S37)+SheriffCostsFromBid-(Z38)*(1-RTTPurchase))))))</f>
        <v/>
      </c>
      <c r="AB38" s="32" t="str">
        <f aca="false">IF(Underwriting!$A37="","",IFERROR(AA38/(((Z38)*(1+BuyerPremium)+IF(N(Deals!S37)=0,0,MIN(N(Deals!S37),MAX(0,N(Deals!S37)+SheriffCostsFromBid-(Z38)*(1-RTTPurchase)))))+Underwriting!$S37)/(Underwriting!$M37/12),0))</f>
        <v/>
      </c>
      <c r="AC38" s="32" t="str">
        <f aca="false">IF(Underwriting!$A37="","",IFERROR(Underwriting!$Z37/(((Z38)*(1+BuyerPremium)+IF(N(Deals!S37)=0,0,MIN(N(Deals!S37),MAX(0,N(Deals!S37)+SheriffCostsFromBid-(Z38)*(1-RTTPurchase)))))+Underwriting!$AA37),0))</f>
        <v/>
      </c>
      <c r="AD38" s="31" t="str">
        <f aca="false">IF(Underwriting!$A37="","",ROUND(AD$2*$C38,-3))</f>
        <v/>
      </c>
      <c r="AE38" s="31" t="str">
        <f aca="false">IF(Underwriting!$A37="","",Underwriting!$T37-((AD38)*(1+BuyerPremium)+IF(N(Deals!S37)=0,0,MIN(N(Deals!S37),MAX(0,N(Deals!S37)+SheriffCostsFromBid-(AD38)*(1-RTTPurchase))))))</f>
        <v/>
      </c>
      <c r="AF38" s="32" t="str">
        <f aca="false">IF(Underwriting!$A37="","",IFERROR(AE38/(((AD38)*(1+BuyerPremium)+IF(N(Deals!S37)=0,0,MIN(N(Deals!S37),MAX(0,N(Deals!S37)+SheriffCostsFromBid-(AD38)*(1-RTTPurchase)))))+Underwriting!$S37)/(Underwriting!$M37/12),0))</f>
        <v/>
      </c>
      <c r="AG38" s="32" t="str">
        <f aca="false">IF(Underwriting!$A37="","",IFERROR(Underwriting!$Z37/(((AD38)*(1+BuyerPremium)+IF(N(Deals!S37)=0,0,MIN(N(Deals!S37),MAX(0,N(Deals!S37)+SheriffCostsFromBid-(AD38)*(1-RTTPurchase)))))+Underwriting!$AA37),0))</f>
        <v/>
      </c>
      <c r="AH38" s="31" t="str">
        <f aca="false">IF(Underwriting!$A37="","",$E38)</f>
        <v/>
      </c>
      <c r="AI38" s="31" t="str">
        <f aca="false">IF(Underwriting!$A37="","",Underwriting!$T37-((AH38)*(1+BuyerPremium)+IF(N(Deals!S37)=0,0,MIN(N(Deals!S37),MAX(0,N(Deals!S37)+SheriffCostsFromBid-(AH38)*(1-RTTPurchase))))))</f>
        <v/>
      </c>
      <c r="AJ38" s="32" t="str">
        <f aca="false">IF(Underwriting!$A37="","",IFERROR(AI38/(((AH38)*(1+BuyerPremium)+IF(N(Deals!S37)=0,0,MIN(N(Deals!S37),MAX(0,N(Deals!S37)+SheriffCostsFromBid-(AH38)*(1-RTTPurchase)))))+Underwriting!$S37)/(Underwriting!$M37/12),0))</f>
        <v/>
      </c>
      <c r="AK38" s="32" t="str">
        <f aca="false">IF(Underwriting!$A37="","",IFERROR(Underwriting!$Z37/(((AH38)*(1+BuyerPremium)+IF(N(Deals!S37)=0,0,MIN(N(Deals!S37),MAX(0,N(Deals!S37)+SheriffCostsFromBid-(AH38)*(1-RTTPurchase)))))+Underwriting!$AA37),0))</f>
        <v/>
      </c>
    </row>
    <row r="39" customFormat="false" ht="15" hidden="false" customHeight="true" outlineLevel="0" collapsed="false">
      <c r="A39" s="1" t="str">
        <f aca="false">Underwriting!$A38</f>
        <v/>
      </c>
      <c r="B39" s="1" t="str">
        <f aca="false">Underwriting!$B38</f>
        <v/>
      </c>
      <c r="C39" s="31" t="str">
        <f aca="false">IF(Underwriting!$A38="","",N(Deals!M38))</f>
        <v/>
      </c>
      <c r="D39" s="31" t="str">
        <f aca="false">IF(Underwriting!$A38="","",N(Deals!D38))</f>
        <v/>
      </c>
      <c r="E39" s="31" t="str">
        <f aca="false">IF(Underwriting!$A38="","",Underwriting!$D38)</f>
        <v/>
      </c>
      <c r="F39" s="31" t="str">
        <f aca="false">IF(Underwriting!$A38="","",$D39)</f>
        <v/>
      </c>
      <c r="G39" s="31" t="str">
        <f aca="false">IF(Underwriting!$A38="","",Underwriting!$T38-((F39)*(1+BuyerPremium)+IF(N(Deals!S38)=0,0,MIN(N(Deals!S38),MAX(0,N(Deals!S38)+SheriffCostsFromBid-(F39)*(1-RTTPurchase))))))</f>
        <v/>
      </c>
      <c r="H39" s="32" t="str">
        <f aca="false">IF(Underwriting!$A38="","",IFERROR(G39/(((F39)*(1+BuyerPremium)+IF(N(Deals!S38)=0,0,MIN(N(Deals!S38),MAX(0,N(Deals!S38)+SheriffCostsFromBid-(F39)*(1-RTTPurchase)))))+Underwriting!$S38)/(Underwriting!$M38/12),0))</f>
        <v/>
      </c>
      <c r="I39" s="32" t="str">
        <f aca="false">IF(Underwriting!$A38="","",IFERROR(Underwriting!$Z38/(((F39)*(1+BuyerPremium)+IF(N(Deals!S38)=0,0,MIN(N(Deals!S38),MAX(0,N(Deals!S38)+SheriffCostsFromBid-(F39)*(1-RTTPurchase)))))+Underwriting!$AA38),0))</f>
        <v/>
      </c>
      <c r="J39" s="31" t="str">
        <f aca="false">IF(Underwriting!$A38="","",ROUND(J$2*$C39,-3))</f>
        <v/>
      </c>
      <c r="K39" s="31" t="str">
        <f aca="false">IF(Underwriting!$A38="","",Underwriting!$T38-((J39)*(1+BuyerPremium)+IF(N(Deals!S38)=0,0,MIN(N(Deals!S38),MAX(0,N(Deals!S38)+SheriffCostsFromBid-(J39)*(1-RTTPurchase))))))</f>
        <v/>
      </c>
      <c r="L39" s="32" t="str">
        <f aca="false">IF(Underwriting!$A38="","",IFERROR(K39/(((J39)*(1+BuyerPremium)+IF(N(Deals!S38)=0,0,MIN(N(Deals!S38),MAX(0,N(Deals!S38)+SheriffCostsFromBid-(J39)*(1-RTTPurchase)))))+Underwriting!$S38)/(Underwriting!$M38/12),0))</f>
        <v/>
      </c>
      <c r="M39" s="32" t="str">
        <f aca="false">IF(Underwriting!$A38="","",IFERROR(Underwriting!$Z38/(((J39)*(1+BuyerPremium)+IF(N(Deals!S38)=0,0,MIN(N(Deals!S38),MAX(0,N(Deals!S38)+SheriffCostsFromBid-(J39)*(1-RTTPurchase)))))+Underwriting!$AA38),0))</f>
        <v/>
      </c>
      <c r="N39" s="31" t="str">
        <f aca="false">IF(Underwriting!$A38="","",ROUND(N$2*$C39,-3))</f>
        <v/>
      </c>
      <c r="O39" s="31" t="str">
        <f aca="false">IF(Underwriting!$A38="","",Underwriting!$T38-((N39)*(1+BuyerPremium)+IF(N(Deals!S38)=0,0,MIN(N(Deals!S38),MAX(0,N(Deals!S38)+SheriffCostsFromBid-(N39)*(1-RTTPurchase))))))</f>
        <v/>
      </c>
      <c r="P39" s="32" t="str">
        <f aca="false">IF(Underwriting!$A38="","",IFERROR(O39/(((N39)*(1+BuyerPremium)+IF(N(Deals!S38)=0,0,MIN(N(Deals!S38),MAX(0,N(Deals!S38)+SheriffCostsFromBid-(N39)*(1-RTTPurchase)))))+Underwriting!$S38)/(Underwriting!$M38/12),0))</f>
        <v/>
      </c>
      <c r="Q39" s="32" t="str">
        <f aca="false">IF(Underwriting!$A38="","",IFERROR(Underwriting!$Z38/(((N39)*(1+BuyerPremium)+IF(N(Deals!S38)=0,0,MIN(N(Deals!S38),MAX(0,N(Deals!S38)+SheriffCostsFromBid-(N39)*(1-RTTPurchase)))))+Underwriting!$AA38),0))</f>
        <v/>
      </c>
      <c r="R39" s="31" t="str">
        <f aca="false">IF(Underwriting!$A38="","",ROUND(R$2*$C39,-3))</f>
        <v/>
      </c>
      <c r="S39" s="31" t="str">
        <f aca="false">IF(Underwriting!$A38="","",Underwriting!$T38-((R39)*(1+BuyerPremium)+IF(N(Deals!S38)=0,0,MIN(N(Deals!S38),MAX(0,N(Deals!S38)+SheriffCostsFromBid-(R39)*(1-RTTPurchase))))))</f>
        <v/>
      </c>
      <c r="T39" s="32" t="str">
        <f aca="false">IF(Underwriting!$A38="","",IFERROR(S39/(((R39)*(1+BuyerPremium)+IF(N(Deals!S38)=0,0,MIN(N(Deals!S38),MAX(0,N(Deals!S38)+SheriffCostsFromBid-(R39)*(1-RTTPurchase)))))+Underwriting!$S38)/(Underwriting!$M38/12),0))</f>
        <v/>
      </c>
      <c r="U39" s="32" t="str">
        <f aca="false">IF(Underwriting!$A38="","",IFERROR(Underwriting!$Z38/(((R39)*(1+BuyerPremium)+IF(N(Deals!S38)=0,0,MIN(N(Deals!S38),MAX(0,N(Deals!S38)+SheriffCostsFromBid-(R39)*(1-RTTPurchase)))))+Underwriting!$AA38),0))</f>
        <v/>
      </c>
      <c r="V39" s="31" t="str">
        <f aca="false">IF(Underwriting!$A38="","",ROUND(V$2*$C39,-3))</f>
        <v/>
      </c>
      <c r="W39" s="31" t="str">
        <f aca="false">IF(Underwriting!$A38="","",Underwriting!$T38-((V39)*(1+BuyerPremium)+IF(N(Deals!S38)=0,0,MIN(N(Deals!S38),MAX(0,N(Deals!S38)+SheriffCostsFromBid-(V39)*(1-RTTPurchase))))))</f>
        <v/>
      </c>
      <c r="X39" s="32" t="str">
        <f aca="false">IF(Underwriting!$A38="","",IFERROR(W39/(((V39)*(1+BuyerPremium)+IF(N(Deals!S38)=0,0,MIN(N(Deals!S38),MAX(0,N(Deals!S38)+SheriffCostsFromBid-(V39)*(1-RTTPurchase)))))+Underwriting!$S38)/(Underwriting!$M38/12),0))</f>
        <v/>
      </c>
      <c r="Y39" s="32" t="str">
        <f aca="false">IF(Underwriting!$A38="","",IFERROR(Underwriting!$Z38/(((V39)*(1+BuyerPremium)+IF(N(Deals!S38)=0,0,MIN(N(Deals!S38),MAX(0,N(Deals!S38)+SheriffCostsFromBid-(V39)*(1-RTTPurchase)))))+Underwriting!$AA38),0))</f>
        <v/>
      </c>
      <c r="Z39" s="31" t="str">
        <f aca="false">IF(Underwriting!$A38="","",ROUND(Z$2*$C39,-3))</f>
        <v/>
      </c>
      <c r="AA39" s="31" t="str">
        <f aca="false">IF(Underwriting!$A38="","",Underwriting!$T38-((Z39)*(1+BuyerPremium)+IF(N(Deals!S38)=0,0,MIN(N(Deals!S38),MAX(0,N(Deals!S38)+SheriffCostsFromBid-(Z39)*(1-RTTPurchase))))))</f>
        <v/>
      </c>
      <c r="AB39" s="32" t="str">
        <f aca="false">IF(Underwriting!$A38="","",IFERROR(AA39/(((Z39)*(1+BuyerPremium)+IF(N(Deals!S38)=0,0,MIN(N(Deals!S38),MAX(0,N(Deals!S38)+SheriffCostsFromBid-(Z39)*(1-RTTPurchase)))))+Underwriting!$S38)/(Underwriting!$M38/12),0))</f>
        <v/>
      </c>
      <c r="AC39" s="32" t="str">
        <f aca="false">IF(Underwriting!$A38="","",IFERROR(Underwriting!$Z38/(((Z39)*(1+BuyerPremium)+IF(N(Deals!S38)=0,0,MIN(N(Deals!S38),MAX(0,N(Deals!S38)+SheriffCostsFromBid-(Z39)*(1-RTTPurchase)))))+Underwriting!$AA38),0))</f>
        <v/>
      </c>
      <c r="AD39" s="31" t="str">
        <f aca="false">IF(Underwriting!$A38="","",ROUND(AD$2*$C39,-3))</f>
        <v/>
      </c>
      <c r="AE39" s="31" t="str">
        <f aca="false">IF(Underwriting!$A38="","",Underwriting!$T38-((AD39)*(1+BuyerPremium)+IF(N(Deals!S38)=0,0,MIN(N(Deals!S38),MAX(0,N(Deals!S38)+SheriffCostsFromBid-(AD39)*(1-RTTPurchase))))))</f>
        <v/>
      </c>
      <c r="AF39" s="32" t="str">
        <f aca="false">IF(Underwriting!$A38="","",IFERROR(AE39/(((AD39)*(1+BuyerPremium)+IF(N(Deals!S38)=0,0,MIN(N(Deals!S38),MAX(0,N(Deals!S38)+SheriffCostsFromBid-(AD39)*(1-RTTPurchase)))))+Underwriting!$S38)/(Underwriting!$M38/12),0))</f>
        <v/>
      </c>
      <c r="AG39" s="32" t="str">
        <f aca="false">IF(Underwriting!$A38="","",IFERROR(Underwriting!$Z38/(((AD39)*(1+BuyerPremium)+IF(N(Deals!S38)=0,0,MIN(N(Deals!S38),MAX(0,N(Deals!S38)+SheriffCostsFromBid-(AD39)*(1-RTTPurchase)))))+Underwriting!$AA38),0))</f>
        <v/>
      </c>
      <c r="AH39" s="31" t="str">
        <f aca="false">IF(Underwriting!$A38="","",$E39)</f>
        <v/>
      </c>
      <c r="AI39" s="31" t="str">
        <f aca="false">IF(Underwriting!$A38="","",Underwriting!$T38-((AH39)*(1+BuyerPremium)+IF(N(Deals!S38)=0,0,MIN(N(Deals!S38),MAX(0,N(Deals!S38)+SheriffCostsFromBid-(AH39)*(1-RTTPurchase))))))</f>
        <v/>
      </c>
      <c r="AJ39" s="32" t="str">
        <f aca="false">IF(Underwriting!$A38="","",IFERROR(AI39/(((AH39)*(1+BuyerPremium)+IF(N(Deals!S38)=0,0,MIN(N(Deals!S38),MAX(0,N(Deals!S38)+SheriffCostsFromBid-(AH39)*(1-RTTPurchase)))))+Underwriting!$S38)/(Underwriting!$M38/12),0))</f>
        <v/>
      </c>
      <c r="AK39" s="32" t="str">
        <f aca="false">IF(Underwriting!$A38="","",IFERROR(Underwriting!$Z38/(((AH39)*(1+BuyerPremium)+IF(N(Deals!S38)=0,0,MIN(N(Deals!S38),MAX(0,N(Deals!S38)+SheriffCostsFromBid-(AH39)*(1-RTTPurchase)))))+Underwriting!$AA38),0))</f>
        <v/>
      </c>
    </row>
    <row r="40" customFormat="false" ht="15" hidden="false" customHeight="true" outlineLevel="0" collapsed="false">
      <c r="A40" s="1" t="str">
        <f aca="false">Underwriting!$A39</f>
        <v/>
      </c>
      <c r="B40" s="1" t="str">
        <f aca="false">Underwriting!$B39</f>
        <v/>
      </c>
      <c r="C40" s="31" t="str">
        <f aca="false">IF(Underwriting!$A39="","",N(Deals!M39))</f>
        <v/>
      </c>
      <c r="D40" s="31" t="str">
        <f aca="false">IF(Underwriting!$A39="","",N(Deals!D39))</f>
        <v/>
      </c>
      <c r="E40" s="31" t="str">
        <f aca="false">IF(Underwriting!$A39="","",Underwriting!$D39)</f>
        <v/>
      </c>
      <c r="F40" s="31" t="str">
        <f aca="false">IF(Underwriting!$A39="","",$D40)</f>
        <v/>
      </c>
      <c r="G40" s="31" t="str">
        <f aca="false">IF(Underwriting!$A39="","",Underwriting!$T39-((F40)*(1+BuyerPremium)+IF(N(Deals!S39)=0,0,MIN(N(Deals!S39),MAX(0,N(Deals!S39)+SheriffCostsFromBid-(F40)*(1-RTTPurchase))))))</f>
        <v/>
      </c>
      <c r="H40" s="32" t="str">
        <f aca="false">IF(Underwriting!$A39="","",IFERROR(G40/(((F40)*(1+BuyerPremium)+IF(N(Deals!S39)=0,0,MIN(N(Deals!S39),MAX(0,N(Deals!S39)+SheriffCostsFromBid-(F40)*(1-RTTPurchase)))))+Underwriting!$S39)/(Underwriting!$M39/12),0))</f>
        <v/>
      </c>
      <c r="I40" s="32" t="str">
        <f aca="false">IF(Underwriting!$A39="","",IFERROR(Underwriting!$Z39/(((F40)*(1+BuyerPremium)+IF(N(Deals!S39)=0,0,MIN(N(Deals!S39),MAX(0,N(Deals!S39)+SheriffCostsFromBid-(F40)*(1-RTTPurchase)))))+Underwriting!$AA39),0))</f>
        <v/>
      </c>
      <c r="J40" s="31" t="str">
        <f aca="false">IF(Underwriting!$A39="","",ROUND(J$2*$C40,-3))</f>
        <v/>
      </c>
      <c r="K40" s="31" t="str">
        <f aca="false">IF(Underwriting!$A39="","",Underwriting!$T39-((J40)*(1+BuyerPremium)+IF(N(Deals!S39)=0,0,MIN(N(Deals!S39),MAX(0,N(Deals!S39)+SheriffCostsFromBid-(J40)*(1-RTTPurchase))))))</f>
        <v/>
      </c>
      <c r="L40" s="32" t="str">
        <f aca="false">IF(Underwriting!$A39="","",IFERROR(K40/(((J40)*(1+BuyerPremium)+IF(N(Deals!S39)=0,0,MIN(N(Deals!S39),MAX(0,N(Deals!S39)+SheriffCostsFromBid-(J40)*(1-RTTPurchase)))))+Underwriting!$S39)/(Underwriting!$M39/12),0))</f>
        <v/>
      </c>
      <c r="M40" s="32" t="str">
        <f aca="false">IF(Underwriting!$A39="","",IFERROR(Underwriting!$Z39/(((J40)*(1+BuyerPremium)+IF(N(Deals!S39)=0,0,MIN(N(Deals!S39),MAX(0,N(Deals!S39)+SheriffCostsFromBid-(J40)*(1-RTTPurchase)))))+Underwriting!$AA39),0))</f>
        <v/>
      </c>
      <c r="N40" s="31" t="str">
        <f aca="false">IF(Underwriting!$A39="","",ROUND(N$2*$C40,-3))</f>
        <v/>
      </c>
      <c r="O40" s="31" t="str">
        <f aca="false">IF(Underwriting!$A39="","",Underwriting!$T39-((N40)*(1+BuyerPremium)+IF(N(Deals!S39)=0,0,MIN(N(Deals!S39),MAX(0,N(Deals!S39)+SheriffCostsFromBid-(N40)*(1-RTTPurchase))))))</f>
        <v/>
      </c>
      <c r="P40" s="32" t="str">
        <f aca="false">IF(Underwriting!$A39="","",IFERROR(O40/(((N40)*(1+BuyerPremium)+IF(N(Deals!S39)=0,0,MIN(N(Deals!S39),MAX(0,N(Deals!S39)+SheriffCostsFromBid-(N40)*(1-RTTPurchase)))))+Underwriting!$S39)/(Underwriting!$M39/12),0))</f>
        <v/>
      </c>
      <c r="Q40" s="32" t="str">
        <f aca="false">IF(Underwriting!$A39="","",IFERROR(Underwriting!$Z39/(((N40)*(1+BuyerPremium)+IF(N(Deals!S39)=0,0,MIN(N(Deals!S39),MAX(0,N(Deals!S39)+SheriffCostsFromBid-(N40)*(1-RTTPurchase)))))+Underwriting!$AA39),0))</f>
        <v/>
      </c>
      <c r="R40" s="31" t="str">
        <f aca="false">IF(Underwriting!$A39="","",ROUND(R$2*$C40,-3))</f>
        <v/>
      </c>
      <c r="S40" s="31" t="str">
        <f aca="false">IF(Underwriting!$A39="","",Underwriting!$T39-((R40)*(1+BuyerPremium)+IF(N(Deals!S39)=0,0,MIN(N(Deals!S39),MAX(0,N(Deals!S39)+SheriffCostsFromBid-(R40)*(1-RTTPurchase))))))</f>
        <v/>
      </c>
      <c r="T40" s="32" t="str">
        <f aca="false">IF(Underwriting!$A39="","",IFERROR(S40/(((R40)*(1+BuyerPremium)+IF(N(Deals!S39)=0,0,MIN(N(Deals!S39),MAX(0,N(Deals!S39)+SheriffCostsFromBid-(R40)*(1-RTTPurchase)))))+Underwriting!$S39)/(Underwriting!$M39/12),0))</f>
        <v/>
      </c>
      <c r="U40" s="32" t="str">
        <f aca="false">IF(Underwriting!$A39="","",IFERROR(Underwriting!$Z39/(((R40)*(1+BuyerPremium)+IF(N(Deals!S39)=0,0,MIN(N(Deals!S39),MAX(0,N(Deals!S39)+SheriffCostsFromBid-(R40)*(1-RTTPurchase)))))+Underwriting!$AA39),0))</f>
        <v/>
      </c>
      <c r="V40" s="31" t="str">
        <f aca="false">IF(Underwriting!$A39="","",ROUND(V$2*$C40,-3))</f>
        <v/>
      </c>
      <c r="W40" s="31" t="str">
        <f aca="false">IF(Underwriting!$A39="","",Underwriting!$T39-((V40)*(1+BuyerPremium)+IF(N(Deals!S39)=0,0,MIN(N(Deals!S39),MAX(0,N(Deals!S39)+SheriffCostsFromBid-(V40)*(1-RTTPurchase))))))</f>
        <v/>
      </c>
      <c r="X40" s="32" t="str">
        <f aca="false">IF(Underwriting!$A39="","",IFERROR(W40/(((V40)*(1+BuyerPremium)+IF(N(Deals!S39)=0,0,MIN(N(Deals!S39),MAX(0,N(Deals!S39)+SheriffCostsFromBid-(V40)*(1-RTTPurchase)))))+Underwriting!$S39)/(Underwriting!$M39/12),0))</f>
        <v/>
      </c>
      <c r="Y40" s="32" t="str">
        <f aca="false">IF(Underwriting!$A39="","",IFERROR(Underwriting!$Z39/(((V40)*(1+BuyerPremium)+IF(N(Deals!S39)=0,0,MIN(N(Deals!S39),MAX(0,N(Deals!S39)+SheriffCostsFromBid-(V40)*(1-RTTPurchase)))))+Underwriting!$AA39),0))</f>
        <v/>
      </c>
      <c r="Z40" s="31" t="str">
        <f aca="false">IF(Underwriting!$A39="","",ROUND(Z$2*$C40,-3))</f>
        <v/>
      </c>
      <c r="AA40" s="31" t="str">
        <f aca="false">IF(Underwriting!$A39="","",Underwriting!$T39-((Z40)*(1+BuyerPremium)+IF(N(Deals!S39)=0,0,MIN(N(Deals!S39),MAX(0,N(Deals!S39)+SheriffCostsFromBid-(Z40)*(1-RTTPurchase))))))</f>
        <v/>
      </c>
      <c r="AB40" s="32" t="str">
        <f aca="false">IF(Underwriting!$A39="","",IFERROR(AA40/(((Z40)*(1+BuyerPremium)+IF(N(Deals!S39)=0,0,MIN(N(Deals!S39),MAX(0,N(Deals!S39)+SheriffCostsFromBid-(Z40)*(1-RTTPurchase)))))+Underwriting!$S39)/(Underwriting!$M39/12),0))</f>
        <v/>
      </c>
      <c r="AC40" s="32" t="str">
        <f aca="false">IF(Underwriting!$A39="","",IFERROR(Underwriting!$Z39/(((Z40)*(1+BuyerPremium)+IF(N(Deals!S39)=0,0,MIN(N(Deals!S39),MAX(0,N(Deals!S39)+SheriffCostsFromBid-(Z40)*(1-RTTPurchase)))))+Underwriting!$AA39),0))</f>
        <v/>
      </c>
      <c r="AD40" s="31" t="str">
        <f aca="false">IF(Underwriting!$A39="","",ROUND(AD$2*$C40,-3))</f>
        <v/>
      </c>
      <c r="AE40" s="31" t="str">
        <f aca="false">IF(Underwriting!$A39="","",Underwriting!$T39-((AD40)*(1+BuyerPremium)+IF(N(Deals!S39)=0,0,MIN(N(Deals!S39),MAX(0,N(Deals!S39)+SheriffCostsFromBid-(AD40)*(1-RTTPurchase))))))</f>
        <v/>
      </c>
      <c r="AF40" s="32" t="str">
        <f aca="false">IF(Underwriting!$A39="","",IFERROR(AE40/(((AD40)*(1+BuyerPremium)+IF(N(Deals!S39)=0,0,MIN(N(Deals!S39),MAX(0,N(Deals!S39)+SheriffCostsFromBid-(AD40)*(1-RTTPurchase)))))+Underwriting!$S39)/(Underwriting!$M39/12),0))</f>
        <v/>
      </c>
      <c r="AG40" s="32" t="str">
        <f aca="false">IF(Underwriting!$A39="","",IFERROR(Underwriting!$Z39/(((AD40)*(1+BuyerPremium)+IF(N(Deals!S39)=0,0,MIN(N(Deals!S39),MAX(0,N(Deals!S39)+SheriffCostsFromBid-(AD40)*(1-RTTPurchase)))))+Underwriting!$AA39),0))</f>
        <v/>
      </c>
      <c r="AH40" s="31" t="str">
        <f aca="false">IF(Underwriting!$A39="","",$E40)</f>
        <v/>
      </c>
      <c r="AI40" s="31" t="str">
        <f aca="false">IF(Underwriting!$A39="","",Underwriting!$T39-((AH40)*(1+BuyerPremium)+IF(N(Deals!S39)=0,0,MIN(N(Deals!S39),MAX(0,N(Deals!S39)+SheriffCostsFromBid-(AH40)*(1-RTTPurchase))))))</f>
        <v/>
      </c>
      <c r="AJ40" s="32" t="str">
        <f aca="false">IF(Underwriting!$A39="","",IFERROR(AI40/(((AH40)*(1+BuyerPremium)+IF(N(Deals!S39)=0,0,MIN(N(Deals!S39),MAX(0,N(Deals!S39)+SheriffCostsFromBid-(AH40)*(1-RTTPurchase)))))+Underwriting!$S39)/(Underwriting!$M39/12),0))</f>
        <v/>
      </c>
      <c r="AK40" s="32" t="str">
        <f aca="false">IF(Underwriting!$A39="","",IFERROR(Underwriting!$Z39/(((AH40)*(1+BuyerPremium)+IF(N(Deals!S39)=0,0,MIN(N(Deals!S39),MAX(0,N(Deals!S39)+SheriffCostsFromBid-(AH40)*(1-RTTPurchase)))))+Underwriting!$AA39),0))</f>
        <v/>
      </c>
    </row>
    <row r="41" customFormat="false" ht="15" hidden="false" customHeight="true" outlineLevel="0" collapsed="false">
      <c r="A41" s="1" t="str">
        <f aca="false">Underwriting!$A40</f>
        <v/>
      </c>
      <c r="B41" s="1" t="str">
        <f aca="false">Underwriting!$B40</f>
        <v/>
      </c>
      <c r="C41" s="31" t="str">
        <f aca="false">IF(Underwriting!$A40="","",N(Deals!M40))</f>
        <v/>
      </c>
      <c r="D41" s="31" t="str">
        <f aca="false">IF(Underwriting!$A40="","",N(Deals!D40))</f>
        <v/>
      </c>
      <c r="E41" s="31" t="str">
        <f aca="false">IF(Underwriting!$A40="","",Underwriting!$D40)</f>
        <v/>
      </c>
      <c r="F41" s="31" t="str">
        <f aca="false">IF(Underwriting!$A40="","",$D41)</f>
        <v/>
      </c>
      <c r="G41" s="31" t="str">
        <f aca="false">IF(Underwriting!$A40="","",Underwriting!$T40-((F41)*(1+BuyerPremium)+IF(N(Deals!S40)=0,0,MIN(N(Deals!S40),MAX(0,N(Deals!S40)+SheriffCostsFromBid-(F41)*(1-RTTPurchase))))))</f>
        <v/>
      </c>
      <c r="H41" s="32" t="str">
        <f aca="false">IF(Underwriting!$A40="","",IFERROR(G41/(((F41)*(1+BuyerPremium)+IF(N(Deals!S40)=0,0,MIN(N(Deals!S40),MAX(0,N(Deals!S40)+SheriffCostsFromBid-(F41)*(1-RTTPurchase)))))+Underwriting!$S40)/(Underwriting!$M40/12),0))</f>
        <v/>
      </c>
      <c r="I41" s="32" t="str">
        <f aca="false">IF(Underwriting!$A40="","",IFERROR(Underwriting!$Z40/(((F41)*(1+BuyerPremium)+IF(N(Deals!S40)=0,0,MIN(N(Deals!S40),MAX(0,N(Deals!S40)+SheriffCostsFromBid-(F41)*(1-RTTPurchase)))))+Underwriting!$AA40),0))</f>
        <v/>
      </c>
      <c r="J41" s="31" t="str">
        <f aca="false">IF(Underwriting!$A40="","",ROUND(J$2*$C41,-3))</f>
        <v/>
      </c>
      <c r="K41" s="31" t="str">
        <f aca="false">IF(Underwriting!$A40="","",Underwriting!$T40-((J41)*(1+BuyerPremium)+IF(N(Deals!S40)=0,0,MIN(N(Deals!S40),MAX(0,N(Deals!S40)+SheriffCostsFromBid-(J41)*(1-RTTPurchase))))))</f>
        <v/>
      </c>
      <c r="L41" s="32" t="str">
        <f aca="false">IF(Underwriting!$A40="","",IFERROR(K41/(((J41)*(1+BuyerPremium)+IF(N(Deals!S40)=0,0,MIN(N(Deals!S40),MAX(0,N(Deals!S40)+SheriffCostsFromBid-(J41)*(1-RTTPurchase)))))+Underwriting!$S40)/(Underwriting!$M40/12),0))</f>
        <v/>
      </c>
      <c r="M41" s="32" t="str">
        <f aca="false">IF(Underwriting!$A40="","",IFERROR(Underwriting!$Z40/(((J41)*(1+BuyerPremium)+IF(N(Deals!S40)=0,0,MIN(N(Deals!S40),MAX(0,N(Deals!S40)+SheriffCostsFromBid-(J41)*(1-RTTPurchase)))))+Underwriting!$AA40),0))</f>
        <v/>
      </c>
      <c r="N41" s="31" t="str">
        <f aca="false">IF(Underwriting!$A40="","",ROUND(N$2*$C41,-3))</f>
        <v/>
      </c>
      <c r="O41" s="31" t="str">
        <f aca="false">IF(Underwriting!$A40="","",Underwriting!$T40-((N41)*(1+BuyerPremium)+IF(N(Deals!S40)=0,0,MIN(N(Deals!S40),MAX(0,N(Deals!S40)+SheriffCostsFromBid-(N41)*(1-RTTPurchase))))))</f>
        <v/>
      </c>
      <c r="P41" s="32" t="str">
        <f aca="false">IF(Underwriting!$A40="","",IFERROR(O41/(((N41)*(1+BuyerPremium)+IF(N(Deals!S40)=0,0,MIN(N(Deals!S40),MAX(0,N(Deals!S40)+SheriffCostsFromBid-(N41)*(1-RTTPurchase)))))+Underwriting!$S40)/(Underwriting!$M40/12),0))</f>
        <v/>
      </c>
      <c r="Q41" s="32" t="str">
        <f aca="false">IF(Underwriting!$A40="","",IFERROR(Underwriting!$Z40/(((N41)*(1+BuyerPremium)+IF(N(Deals!S40)=0,0,MIN(N(Deals!S40),MAX(0,N(Deals!S40)+SheriffCostsFromBid-(N41)*(1-RTTPurchase)))))+Underwriting!$AA40),0))</f>
        <v/>
      </c>
      <c r="R41" s="31" t="str">
        <f aca="false">IF(Underwriting!$A40="","",ROUND(R$2*$C41,-3))</f>
        <v/>
      </c>
      <c r="S41" s="31" t="str">
        <f aca="false">IF(Underwriting!$A40="","",Underwriting!$T40-((R41)*(1+BuyerPremium)+IF(N(Deals!S40)=0,0,MIN(N(Deals!S40),MAX(0,N(Deals!S40)+SheriffCostsFromBid-(R41)*(1-RTTPurchase))))))</f>
        <v/>
      </c>
      <c r="T41" s="32" t="str">
        <f aca="false">IF(Underwriting!$A40="","",IFERROR(S41/(((R41)*(1+BuyerPremium)+IF(N(Deals!S40)=0,0,MIN(N(Deals!S40),MAX(0,N(Deals!S40)+SheriffCostsFromBid-(R41)*(1-RTTPurchase)))))+Underwriting!$S40)/(Underwriting!$M40/12),0))</f>
        <v/>
      </c>
      <c r="U41" s="32" t="str">
        <f aca="false">IF(Underwriting!$A40="","",IFERROR(Underwriting!$Z40/(((R41)*(1+BuyerPremium)+IF(N(Deals!S40)=0,0,MIN(N(Deals!S40),MAX(0,N(Deals!S40)+SheriffCostsFromBid-(R41)*(1-RTTPurchase)))))+Underwriting!$AA40),0))</f>
        <v/>
      </c>
      <c r="V41" s="31" t="str">
        <f aca="false">IF(Underwriting!$A40="","",ROUND(V$2*$C41,-3))</f>
        <v/>
      </c>
      <c r="W41" s="31" t="str">
        <f aca="false">IF(Underwriting!$A40="","",Underwriting!$T40-((V41)*(1+BuyerPremium)+IF(N(Deals!S40)=0,0,MIN(N(Deals!S40),MAX(0,N(Deals!S40)+SheriffCostsFromBid-(V41)*(1-RTTPurchase))))))</f>
        <v/>
      </c>
      <c r="X41" s="32" t="str">
        <f aca="false">IF(Underwriting!$A40="","",IFERROR(W41/(((V41)*(1+BuyerPremium)+IF(N(Deals!S40)=0,0,MIN(N(Deals!S40),MAX(0,N(Deals!S40)+SheriffCostsFromBid-(V41)*(1-RTTPurchase)))))+Underwriting!$S40)/(Underwriting!$M40/12),0))</f>
        <v/>
      </c>
      <c r="Y41" s="32" t="str">
        <f aca="false">IF(Underwriting!$A40="","",IFERROR(Underwriting!$Z40/(((V41)*(1+BuyerPremium)+IF(N(Deals!S40)=0,0,MIN(N(Deals!S40),MAX(0,N(Deals!S40)+SheriffCostsFromBid-(V41)*(1-RTTPurchase)))))+Underwriting!$AA40),0))</f>
        <v/>
      </c>
      <c r="Z41" s="31" t="str">
        <f aca="false">IF(Underwriting!$A40="","",ROUND(Z$2*$C41,-3))</f>
        <v/>
      </c>
      <c r="AA41" s="31" t="str">
        <f aca="false">IF(Underwriting!$A40="","",Underwriting!$T40-((Z41)*(1+BuyerPremium)+IF(N(Deals!S40)=0,0,MIN(N(Deals!S40),MAX(0,N(Deals!S40)+SheriffCostsFromBid-(Z41)*(1-RTTPurchase))))))</f>
        <v/>
      </c>
      <c r="AB41" s="32" t="str">
        <f aca="false">IF(Underwriting!$A40="","",IFERROR(AA41/(((Z41)*(1+BuyerPremium)+IF(N(Deals!S40)=0,0,MIN(N(Deals!S40),MAX(0,N(Deals!S40)+SheriffCostsFromBid-(Z41)*(1-RTTPurchase)))))+Underwriting!$S40)/(Underwriting!$M40/12),0))</f>
        <v/>
      </c>
      <c r="AC41" s="32" t="str">
        <f aca="false">IF(Underwriting!$A40="","",IFERROR(Underwriting!$Z40/(((Z41)*(1+BuyerPremium)+IF(N(Deals!S40)=0,0,MIN(N(Deals!S40),MAX(0,N(Deals!S40)+SheriffCostsFromBid-(Z41)*(1-RTTPurchase)))))+Underwriting!$AA40),0))</f>
        <v/>
      </c>
      <c r="AD41" s="31" t="str">
        <f aca="false">IF(Underwriting!$A40="","",ROUND(AD$2*$C41,-3))</f>
        <v/>
      </c>
      <c r="AE41" s="31" t="str">
        <f aca="false">IF(Underwriting!$A40="","",Underwriting!$T40-((AD41)*(1+BuyerPremium)+IF(N(Deals!S40)=0,0,MIN(N(Deals!S40),MAX(0,N(Deals!S40)+SheriffCostsFromBid-(AD41)*(1-RTTPurchase))))))</f>
        <v/>
      </c>
      <c r="AF41" s="32" t="str">
        <f aca="false">IF(Underwriting!$A40="","",IFERROR(AE41/(((AD41)*(1+BuyerPremium)+IF(N(Deals!S40)=0,0,MIN(N(Deals!S40),MAX(0,N(Deals!S40)+SheriffCostsFromBid-(AD41)*(1-RTTPurchase)))))+Underwriting!$S40)/(Underwriting!$M40/12),0))</f>
        <v/>
      </c>
      <c r="AG41" s="32" t="str">
        <f aca="false">IF(Underwriting!$A40="","",IFERROR(Underwriting!$Z40/(((AD41)*(1+BuyerPremium)+IF(N(Deals!S40)=0,0,MIN(N(Deals!S40),MAX(0,N(Deals!S40)+SheriffCostsFromBid-(AD41)*(1-RTTPurchase)))))+Underwriting!$AA40),0))</f>
        <v/>
      </c>
      <c r="AH41" s="31" t="str">
        <f aca="false">IF(Underwriting!$A40="","",$E41)</f>
        <v/>
      </c>
      <c r="AI41" s="31" t="str">
        <f aca="false">IF(Underwriting!$A40="","",Underwriting!$T40-((AH41)*(1+BuyerPremium)+IF(N(Deals!S40)=0,0,MIN(N(Deals!S40),MAX(0,N(Deals!S40)+SheriffCostsFromBid-(AH41)*(1-RTTPurchase))))))</f>
        <v/>
      </c>
      <c r="AJ41" s="32" t="str">
        <f aca="false">IF(Underwriting!$A40="","",IFERROR(AI41/(((AH41)*(1+BuyerPremium)+IF(N(Deals!S40)=0,0,MIN(N(Deals!S40),MAX(0,N(Deals!S40)+SheriffCostsFromBid-(AH41)*(1-RTTPurchase)))))+Underwriting!$S40)/(Underwriting!$M40/12),0))</f>
        <v/>
      </c>
      <c r="AK41" s="32" t="str">
        <f aca="false">IF(Underwriting!$A40="","",IFERROR(Underwriting!$Z40/(((AH41)*(1+BuyerPremium)+IF(N(Deals!S40)=0,0,MIN(N(Deals!S40),MAX(0,N(Deals!S40)+SheriffCostsFromBid-(AH41)*(1-RTTPurchase)))))+Underwriting!$AA40),0))</f>
        <v/>
      </c>
    </row>
    <row r="42" customFormat="false" ht="15" hidden="false" customHeight="true" outlineLevel="0" collapsed="false">
      <c r="A42" s="1" t="str">
        <f aca="false">Underwriting!$A41</f>
        <v/>
      </c>
      <c r="B42" s="1" t="str">
        <f aca="false">Underwriting!$B41</f>
        <v/>
      </c>
      <c r="C42" s="31" t="str">
        <f aca="false">IF(Underwriting!$A41="","",N(Deals!M41))</f>
        <v/>
      </c>
      <c r="D42" s="31" t="str">
        <f aca="false">IF(Underwriting!$A41="","",N(Deals!D41))</f>
        <v/>
      </c>
      <c r="E42" s="31" t="str">
        <f aca="false">IF(Underwriting!$A41="","",Underwriting!$D41)</f>
        <v/>
      </c>
      <c r="F42" s="31" t="str">
        <f aca="false">IF(Underwriting!$A41="","",$D42)</f>
        <v/>
      </c>
      <c r="G42" s="31" t="str">
        <f aca="false">IF(Underwriting!$A41="","",Underwriting!$T41-((F42)*(1+BuyerPremium)+IF(N(Deals!S41)=0,0,MIN(N(Deals!S41),MAX(0,N(Deals!S41)+SheriffCostsFromBid-(F42)*(1-RTTPurchase))))))</f>
        <v/>
      </c>
      <c r="H42" s="32" t="str">
        <f aca="false">IF(Underwriting!$A41="","",IFERROR(G42/(((F42)*(1+BuyerPremium)+IF(N(Deals!S41)=0,0,MIN(N(Deals!S41),MAX(0,N(Deals!S41)+SheriffCostsFromBid-(F42)*(1-RTTPurchase)))))+Underwriting!$S41)/(Underwriting!$M41/12),0))</f>
        <v/>
      </c>
      <c r="I42" s="32" t="str">
        <f aca="false">IF(Underwriting!$A41="","",IFERROR(Underwriting!$Z41/(((F42)*(1+BuyerPremium)+IF(N(Deals!S41)=0,0,MIN(N(Deals!S41),MAX(0,N(Deals!S41)+SheriffCostsFromBid-(F42)*(1-RTTPurchase)))))+Underwriting!$AA41),0))</f>
        <v/>
      </c>
      <c r="J42" s="31" t="str">
        <f aca="false">IF(Underwriting!$A41="","",ROUND(J$2*$C42,-3))</f>
        <v/>
      </c>
      <c r="K42" s="31" t="str">
        <f aca="false">IF(Underwriting!$A41="","",Underwriting!$T41-((J42)*(1+BuyerPremium)+IF(N(Deals!S41)=0,0,MIN(N(Deals!S41),MAX(0,N(Deals!S41)+SheriffCostsFromBid-(J42)*(1-RTTPurchase))))))</f>
        <v/>
      </c>
      <c r="L42" s="32" t="str">
        <f aca="false">IF(Underwriting!$A41="","",IFERROR(K42/(((J42)*(1+BuyerPremium)+IF(N(Deals!S41)=0,0,MIN(N(Deals!S41),MAX(0,N(Deals!S41)+SheriffCostsFromBid-(J42)*(1-RTTPurchase)))))+Underwriting!$S41)/(Underwriting!$M41/12),0))</f>
        <v/>
      </c>
      <c r="M42" s="32" t="str">
        <f aca="false">IF(Underwriting!$A41="","",IFERROR(Underwriting!$Z41/(((J42)*(1+BuyerPremium)+IF(N(Deals!S41)=0,0,MIN(N(Deals!S41),MAX(0,N(Deals!S41)+SheriffCostsFromBid-(J42)*(1-RTTPurchase)))))+Underwriting!$AA41),0))</f>
        <v/>
      </c>
      <c r="N42" s="31" t="str">
        <f aca="false">IF(Underwriting!$A41="","",ROUND(N$2*$C42,-3))</f>
        <v/>
      </c>
      <c r="O42" s="31" t="str">
        <f aca="false">IF(Underwriting!$A41="","",Underwriting!$T41-((N42)*(1+BuyerPremium)+IF(N(Deals!S41)=0,0,MIN(N(Deals!S41),MAX(0,N(Deals!S41)+SheriffCostsFromBid-(N42)*(1-RTTPurchase))))))</f>
        <v/>
      </c>
      <c r="P42" s="32" t="str">
        <f aca="false">IF(Underwriting!$A41="","",IFERROR(O42/(((N42)*(1+BuyerPremium)+IF(N(Deals!S41)=0,0,MIN(N(Deals!S41),MAX(0,N(Deals!S41)+SheriffCostsFromBid-(N42)*(1-RTTPurchase)))))+Underwriting!$S41)/(Underwriting!$M41/12),0))</f>
        <v/>
      </c>
      <c r="Q42" s="32" t="str">
        <f aca="false">IF(Underwriting!$A41="","",IFERROR(Underwriting!$Z41/(((N42)*(1+BuyerPremium)+IF(N(Deals!S41)=0,0,MIN(N(Deals!S41),MAX(0,N(Deals!S41)+SheriffCostsFromBid-(N42)*(1-RTTPurchase)))))+Underwriting!$AA41),0))</f>
        <v/>
      </c>
      <c r="R42" s="31" t="str">
        <f aca="false">IF(Underwriting!$A41="","",ROUND(R$2*$C42,-3))</f>
        <v/>
      </c>
      <c r="S42" s="31" t="str">
        <f aca="false">IF(Underwriting!$A41="","",Underwriting!$T41-((R42)*(1+BuyerPremium)+IF(N(Deals!S41)=0,0,MIN(N(Deals!S41),MAX(0,N(Deals!S41)+SheriffCostsFromBid-(R42)*(1-RTTPurchase))))))</f>
        <v/>
      </c>
      <c r="T42" s="32" t="str">
        <f aca="false">IF(Underwriting!$A41="","",IFERROR(S42/(((R42)*(1+BuyerPremium)+IF(N(Deals!S41)=0,0,MIN(N(Deals!S41),MAX(0,N(Deals!S41)+SheriffCostsFromBid-(R42)*(1-RTTPurchase)))))+Underwriting!$S41)/(Underwriting!$M41/12),0))</f>
        <v/>
      </c>
      <c r="U42" s="32" t="str">
        <f aca="false">IF(Underwriting!$A41="","",IFERROR(Underwriting!$Z41/(((R42)*(1+BuyerPremium)+IF(N(Deals!S41)=0,0,MIN(N(Deals!S41),MAX(0,N(Deals!S41)+SheriffCostsFromBid-(R42)*(1-RTTPurchase)))))+Underwriting!$AA41),0))</f>
        <v/>
      </c>
      <c r="V42" s="31" t="str">
        <f aca="false">IF(Underwriting!$A41="","",ROUND(V$2*$C42,-3))</f>
        <v/>
      </c>
      <c r="W42" s="31" t="str">
        <f aca="false">IF(Underwriting!$A41="","",Underwriting!$T41-((V42)*(1+BuyerPremium)+IF(N(Deals!S41)=0,0,MIN(N(Deals!S41),MAX(0,N(Deals!S41)+SheriffCostsFromBid-(V42)*(1-RTTPurchase))))))</f>
        <v/>
      </c>
      <c r="X42" s="32" t="str">
        <f aca="false">IF(Underwriting!$A41="","",IFERROR(W42/(((V42)*(1+BuyerPremium)+IF(N(Deals!S41)=0,0,MIN(N(Deals!S41),MAX(0,N(Deals!S41)+SheriffCostsFromBid-(V42)*(1-RTTPurchase)))))+Underwriting!$S41)/(Underwriting!$M41/12),0))</f>
        <v/>
      </c>
      <c r="Y42" s="32" t="str">
        <f aca="false">IF(Underwriting!$A41="","",IFERROR(Underwriting!$Z41/(((V42)*(1+BuyerPremium)+IF(N(Deals!S41)=0,0,MIN(N(Deals!S41),MAX(0,N(Deals!S41)+SheriffCostsFromBid-(V42)*(1-RTTPurchase)))))+Underwriting!$AA41),0))</f>
        <v/>
      </c>
      <c r="Z42" s="31" t="str">
        <f aca="false">IF(Underwriting!$A41="","",ROUND(Z$2*$C42,-3))</f>
        <v/>
      </c>
      <c r="AA42" s="31" t="str">
        <f aca="false">IF(Underwriting!$A41="","",Underwriting!$T41-((Z42)*(1+BuyerPremium)+IF(N(Deals!S41)=0,0,MIN(N(Deals!S41),MAX(0,N(Deals!S41)+SheriffCostsFromBid-(Z42)*(1-RTTPurchase))))))</f>
        <v/>
      </c>
      <c r="AB42" s="32" t="str">
        <f aca="false">IF(Underwriting!$A41="","",IFERROR(AA42/(((Z42)*(1+BuyerPremium)+IF(N(Deals!S41)=0,0,MIN(N(Deals!S41),MAX(0,N(Deals!S41)+SheriffCostsFromBid-(Z42)*(1-RTTPurchase)))))+Underwriting!$S41)/(Underwriting!$M41/12),0))</f>
        <v/>
      </c>
      <c r="AC42" s="32" t="str">
        <f aca="false">IF(Underwriting!$A41="","",IFERROR(Underwriting!$Z41/(((Z42)*(1+BuyerPremium)+IF(N(Deals!S41)=0,0,MIN(N(Deals!S41),MAX(0,N(Deals!S41)+SheriffCostsFromBid-(Z42)*(1-RTTPurchase)))))+Underwriting!$AA41),0))</f>
        <v/>
      </c>
      <c r="AD42" s="31" t="str">
        <f aca="false">IF(Underwriting!$A41="","",ROUND(AD$2*$C42,-3))</f>
        <v/>
      </c>
      <c r="AE42" s="31" t="str">
        <f aca="false">IF(Underwriting!$A41="","",Underwriting!$T41-((AD42)*(1+BuyerPremium)+IF(N(Deals!S41)=0,0,MIN(N(Deals!S41),MAX(0,N(Deals!S41)+SheriffCostsFromBid-(AD42)*(1-RTTPurchase))))))</f>
        <v/>
      </c>
      <c r="AF42" s="32" t="str">
        <f aca="false">IF(Underwriting!$A41="","",IFERROR(AE42/(((AD42)*(1+BuyerPremium)+IF(N(Deals!S41)=0,0,MIN(N(Deals!S41),MAX(0,N(Deals!S41)+SheriffCostsFromBid-(AD42)*(1-RTTPurchase)))))+Underwriting!$S41)/(Underwriting!$M41/12),0))</f>
        <v/>
      </c>
      <c r="AG42" s="32" t="str">
        <f aca="false">IF(Underwriting!$A41="","",IFERROR(Underwriting!$Z41/(((AD42)*(1+BuyerPremium)+IF(N(Deals!S41)=0,0,MIN(N(Deals!S41),MAX(0,N(Deals!S41)+SheriffCostsFromBid-(AD42)*(1-RTTPurchase)))))+Underwriting!$AA41),0))</f>
        <v/>
      </c>
      <c r="AH42" s="31" t="str">
        <f aca="false">IF(Underwriting!$A41="","",$E42)</f>
        <v/>
      </c>
      <c r="AI42" s="31" t="str">
        <f aca="false">IF(Underwriting!$A41="","",Underwriting!$T41-((AH42)*(1+BuyerPremium)+IF(N(Deals!S41)=0,0,MIN(N(Deals!S41),MAX(0,N(Deals!S41)+SheriffCostsFromBid-(AH42)*(1-RTTPurchase))))))</f>
        <v/>
      </c>
      <c r="AJ42" s="32" t="str">
        <f aca="false">IF(Underwriting!$A41="","",IFERROR(AI42/(((AH42)*(1+BuyerPremium)+IF(N(Deals!S41)=0,0,MIN(N(Deals!S41),MAX(0,N(Deals!S41)+SheriffCostsFromBid-(AH42)*(1-RTTPurchase)))))+Underwriting!$S41)/(Underwriting!$M41/12),0))</f>
        <v/>
      </c>
      <c r="AK42" s="32" t="str">
        <f aca="false">IF(Underwriting!$A41="","",IFERROR(Underwriting!$Z41/(((AH42)*(1+BuyerPremium)+IF(N(Deals!S41)=0,0,MIN(N(Deals!S41),MAX(0,N(Deals!S41)+SheriffCostsFromBid-(AH42)*(1-RTTPurchase)))))+Underwriting!$AA41),0))</f>
        <v/>
      </c>
    </row>
    <row r="43" customFormat="false" ht="15" hidden="false" customHeight="true" outlineLevel="0" collapsed="false">
      <c r="A43" s="1" t="str">
        <f aca="false">Underwriting!$A42</f>
        <v/>
      </c>
      <c r="B43" s="1" t="str">
        <f aca="false">Underwriting!$B42</f>
        <v/>
      </c>
      <c r="C43" s="31" t="str">
        <f aca="false">IF(Underwriting!$A42="","",N(Deals!M42))</f>
        <v/>
      </c>
      <c r="D43" s="31" t="str">
        <f aca="false">IF(Underwriting!$A42="","",N(Deals!D42))</f>
        <v/>
      </c>
      <c r="E43" s="31" t="str">
        <f aca="false">IF(Underwriting!$A42="","",Underwriting!$D42)</f>
        <v/>
      </c>
      <c r="F43" s="31" t="str">
        <f aca="false">IF(Underwriting!$A42="","",$D43)</f>
        <v/>
      </c>
      <c r="G43" s="31" t="str">
        <f aca="false">IF(Underwriting!$A42="","",Underwriting!$T42-((F43)*(1+BuyerPremium)+IF(N(Deals!S42)=0,0,MIN(N(Deals!S42),MAX(0,N(Deals!S42)+SheriffCostsFromBid-(F43)*(1-RTTPurchase))))))</f>
        <v/>
      </c>
      <c r="H43" s="32" t="str">
        <f aca="false">IF(Underwriting!$A42="","",IFERROR(G43/(((F43)*(1+BuyerPremium)+IF(N(Deals!S42)=0,0,MIN(N(Deals!S42),MAX(0,N(Deals!S42)+SheriffCostsFromBid-(F43)*(1-RTTPurchase)))))+Underwriting!$S42)/(Underwriting!$M42/12),0))</f>
        <v/>
      </c>
      <c r="I43" s="32" t="str">
        <f aca="false">IF(Underwriting!$A42="","",IFERROR(Underwriting!$Z42/(((F43)*(1+BuyerPremium)+IF(N(Deals!S42)=0,0,MIN(N(Deals!S42),MAX(0,N(Deals!S42)+SheriffCostsFromBid-(F43)*(1-RTTPurchase)))))+Underwriting!$AA42),0))</f>
        <v/>
      </c>
      <c r="J43" s="31" t="str">
        <f aca="false">IF(Underwriting!$A42="","",ROUND(J$2*$C43,-3))</f>
        <v/>
      </c>
      <c r="K43" s="31" t="str">
        <f aca="false">IF(Underwriting!$A42="","",Underwriting!$T42-((J43)*(1+BuyerPremium)+IF(N(Deals!S42)=0,0,MIN(N(Deals!S42),MAX(0,N(Deals!S42)+SheriffCostsFromBid-(J43)*(1-RTTPurchase))))))</f>
        <v/>
      </c>
      <c r="L43" s="32" t="str">
        <f aca="false">IF(Underwriting!$A42="","",IFERROR(K43/(((J43)*(1+BuyerPremium)+IF(N(Deals!S42)=0,0,MIN(N(Deals!S42),MAX(0,N(Deals!S42)+SheriffCostsFromBid-(J43)*(1-RTTPurchase)))))+Underwriting!$S42)/(Underwriting!$M42/12),0))</f>
        <v/>
      </c>
      <c r="M43" s="32" t="str">
        <f aca="false">IF(Underwriting!$A42="","",IFERROR(Underwriting!$Z42/(((J43)*(1+BuyerPremium)+IF(N(Deals!S42)=0,0,MIN(N(Deals!S42),MAX(0,N(Deals!S42)+SheriffCostsFromBid-(J43)*(1-RTTPurchase)))))+Underwriting!$AA42),0))</f>
        <v/>
      </c>
      <c r="N43" s="31" t="str">
        <f aca="false">IF(Underwriting!$A42="","",ROUND(N$2*$C43,-3))</f>
        <v/>
      </c>
      <c r="O43" s="31" t="str">
        <f aca="false">IF(Underwriting!$A42="","",Underwriting!$T42-((N43)*(1+BuyerPremium)+IF(N(Deals!S42)=0,0,MIN(N(Deals!S42),MAX(0,N(Deals!S42)+SheriffCostsFromBid-(N43)*(1-RTTPurchase))))))</f>
        <v/>
      </c>
      <c r="P43" s="32" t="str">
        <f aca="false">IF(Underwriting!$A42="","",IFERROR(O43/(((N43)*(1+BuyerPremium)+IF(N(Deals!S42)=0,0,MIN(N(Deals!S42),MAX(0,N(Deals!S42)+SheriffCostsFromBid-(N43)*(1-RTTPurchase)))))+Underwriting!$S42)/(Underwriting!$M42/12),0))</f>
        <v/>
      </c>
      <c r="Q43" s="32" t="str">
        <f aca="false">IF(Underwriting!$A42="","",IFERROR(Underwriting!$Z42/(((N43)*(1+BuyerPremium)+IF(N(Deals!S42)=0,0,MIN(N(Deals!S42),MAX(0,N(Deals!S42)+SheriffCostsFromBid-(N43)*(1-RTTPurchase)))))+Underwriting!$AA42),0))</f>
        <v/>
      </c>
      <c r="R43" s="31" t="str">
        <f aca="false">IF(Underwriting!$A42="","",ROUND(R$2*$C43,-3))</f>
        <v/>
      </c>
      <c r="S43" s="31" t="str">
        <f aca="false">IF(Underwriting!$A42="","",Underwriting!$T42-((R43)*(1+BuyerPremium)+IF(N(Deals!S42)=0,0,MIN(N(Deals!S42),MAX(0,N(Deals!S42)+SheriffCostsFromBid-(R43)*(1-RTTPurchase))))))</f>
        <v/>
      </c>
      <c r="T43" s="32" t="str">
        <f aca="false">IF(Underwriting!$A42="","",IFERROR(S43/(((R43)*(1+BuyerPremium)+IF(N(Deals!S42)=0,0,MIN(N(Deals!S42),MAX(0,N(Deals!S42)+SheriffCostsFromBid-(R43)*(1-RTTPurchase)))))+Underwriting!$S42)/(Underwriting!$M42/12),0))</f>
        <v/>
      </c>
      <c r="U43" s="32" t="str">
        <f aca="false">IF(Underwriting!$A42="","",IFERROR(Underwriting!$Z42/(((R43)*(1+BuyerPremium)+IF(N(Deals!S42)=0,0,MIN(N(Deals!S42),MAX(0,N(Deals!S42)+SheriffCostsFromBid-(R43)*(1-RTTPurchase)))))+Underwriting!$AA42),0))</f>
        <v/>
      </c>
      <c r="V43" s="31" t="str">
        <f aca="false">IF(Underwriting!$A42="","",ROUND(V$2*$C43,-3))</f>
        <v/>
      </c>
      <c r="W43" s="31" t="str">
        <f aca="false">IF(Underwriting!$A42="","",Underwriting!$T42-((V43)*(1+BuyerPremium)+IF(N(Deals!S42)=0,0,MIN(N(Deals!S42),MAX(0,N(Deals!S42)+SheriffCostsFromBid-(V43)*(1-RTTPurchase))))))</f>
        <v/>
      </c>
      <c r="X43" s="32" t="str">
        <f aca="false">IF(Underwriting!$A42="","",IFERROR(W43/(((V43)*(1+BuyerPremium)+IF(N(Deals!S42)=0,0,MIN(N(Deals!S42),MAX(0,N(Deals!S42)+SheriffCostsFromBid-(V43)*(1-RTTPurchase)))))+Underwriting!$S42)/(Underwriting!$M42/12),0))</f>
        <v/>
      </c>
      <c r="Y43" s="32" t="str">
        <f aca="false">IF(Underwriting!$A42="","",IFERROR(Underwriting!$Z42/(((V43)*(1+BuyerPremium)+IF(N(Deals!S42)=0,0,MIN(N(Deals!S42),MAX(0,N(Deals!S42)+SheriffCostsFromBid-(V43)*(1-RTTPurchase)))))+Underwriting!$AA42),0))</f>
        <v/>
      </c>
      <c r="Z43" s="31" t="str">
        <f aca="false">IF(Underwriting!$A42="","",ROUND(Z$2*$C43,-3))</f>
        <v/>
      </c>
      <c r="AA43" s="31" t="str">
        <f aca="false">IF(Underwriting!$A42="","",Underwriting!$T42-((Z43)*(1+BuyerPremium)+IF(N(Deals!S42)=0,0,MIN(N(Deals!S42),MAX(0,N(Deals!S42)+SheriffCostsFromBid-(Z43)*(1-RTTPurchase))))))</f>
        <v/>
      </c>
      <c r="AB43" s="32" t="str">
        <f aca="false">IF(Underwriting!$A42="","",IFERROR(AA43/(((Z43)*(1+BuyerPremium)+IF(N(Deals!S42)=0,0,MIN(N(Deals!S42),MAX(0,N(Deals!S42)+SheriffCostsFromBid-(Z43)*(1-RTTPurchase)))))+Underwriting!$S42)/(Underwriting!$M42/12),0))</f>
        <v/>
      </c>
      <c r="AC43" s="32" t="str">
        <f aca="false">IF(Underwriting!$A42="","",IFERROR(Underwriting!$Z42/(((Z43)*(1+BuyerPremium)+IF(N(Deals!S42)=0,0,MIN(N(Deals!S42),MAX(0,N(Deals!S42)+SheriffCostsFromBid-(Z43)*(1-RTTPurchase)))))+Underwriting!$AA42),0))</f>
        <v/>
      </c>
      <c r="AD43" s="31" t="str">
        <f aca="false">IF(Underwriting!$A42="","",ROUND(AD$2*$C43,-3))</f>
        <v/>
      </c>
      <c r="AE43" s="31" t="str">
        <f aca="false">IF(Underwriting!$A42="","",Underwriting!$T42-((AD43)*(1+BuyerPremium)+IF(N(Deals!S42)=0,0,MIN(N(Deals!S42),MAX(0,N(Deals!S42)+SheriffCostsFromBid-(AD43)*(1-RTTPurchase))))))</f>
        <v/>
      </c>
      <c r="AF43" s="32" t="str">
        <f aca="false">IF(Underwriting!$A42="","",IFERROR(AE43/(((AD43)*(1+BuyerPremium)+IF(N(Deals!S42)=0,0,MIN(N(Deals!S42),MAX(0,N(Deals!S42)+SheriffCostsFromBid-(AD43)*(1-RTTPurchase)))))+Underwriting!$S42)/(Underwriting!$M42/12),0))</f>
        <v/>
      </c>
      <c r="AG43" s="32" t="str">
        <f aca="false">IF(Underwriting!$A42="","",IFERROR(Underwriting!$Z42/(((AD43)*(1+BuyerPremium)+IF(N(Deals!S42)=0,0,MIN(N(Deals!S42),MAX(0,N(Deals!S42)+SheriffCostsFromBid-(AD43)*(1-RTTPurchase)))))+Underwriting!$AA42),0))</f>
        <v/>
      </c>
      <c r="AH43" s="31" t="str">
        <f aca="false">IF(Underwriting!$A42="","",$E43)</f>
        <v/>
      </c>
      <c r="AI43" s="31" t="str">
        <f aca="false">IF(Underwriting!$A42="","",Underwriting!$T42-((AH43)*(1+BuyerPremium)+IF(N(Deals!S42)=0,0,MIN(N(Deals!S42),MAX(0,N(Deals!S42)+SheriffCostsFromBid-(AH43)*(1-RTTPurchase))))))</f>
        <v/>
      </c>
      <c r="AJ43" s="32" t="str">
        <f aca="false">IF(Underwriting!$A42="","",IFERROR(AI43/(((AH43)*(1+BuyerPremium)+IF(N(Deals!S42)=0,0,MIN(N(Deals!S42),MAX(0,N(Deals!S42)+SheriffCostsFromBid-(AH43)*(1-RTTPurchase)))))+Underwriting!$S42)/(Underwriting!$M42/12),0))</f>
        <v/>
      </c>
      <c r="AK43" s="32" t="str">
        <f aca="false">IF(Underwriting!$A42="","",IFERROR(Underwriting!$Z42/(((AH43)*(1+BuyerPremium)+IF(N(Deals!S42)=0,0,MIN(N(Deals!S42),MAX(0,N(Deals!S42)+SheriffCostsFromBid-(AH43)*(1-RTTPurchase)))))+Underwriting!$AA42),0))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11" min="3" style="1" width="14"/>
    <col collapsed="false" customWidth="true" hidden="false" outlineLevel="0" max="12" min="12" style="1" width="30"/>
  </cols>
  <sheetData>
    <row r="1" customFormat="false" ht="15" hidden="false" customHeight="true" outlineLevel="0" collapsed="false">
      <c r="A1" s="23" t="s">
        <v>237</v>
      </c>
    </row>
    <row r="2" customFormat="false" ht="45" hidden="false" customHeight="true" outlineLevel="0" collapsed="false">
      <c r="A2" s="11" t="s">
        <v>137</v>
      </c>
      <c r="B2" s="11" t="s">
        <v>138</v>
      </c>
      <c r="C2" s="11" t="s">
        <v>191</v>
      </c>
      <c r="D2" s="11" t="s">
        <v>232</v>
      </c>
      <c r="E2" s="11" t="s">
        <v>238</v>
      </c>
      <c r="F2" s="11" t="s">
        <v>239</v>
      </c>
      <c r="G2" s="11" t="s">
        <v>240</v>
      </c>
      <c r="H2" s="11" t="s">
        <v>241</v>
      </c>
      <c r="I2" s="11" t="s">
        <v>242</v>
      </c>
      <c r="J2" s="11" t="s">
        <v>243</v>
      </c>
      <c r="K2" s="11" t="s">
        <v>244</v>
      </c>
      <c r="L2" s="11" t="s">
        <v>245</v>
      </c>
    </row>
    <row r="3" customFormat="false" ht="15" hidden="false" customHeight="true" outlineLevel="0" collapsed="false">
      <c r="A3" s="1" t="str">
        <f aca="false">Underwriting!$A3</f>
        <v>1318974-0</v>
      </c>
      <c r="B3" s="1" t="str">
        <f aca="false">Underwriting!$B3</f>
        <v>0 Bench screen (ARV 354k, Heavy, occupied)</v>
      </c>
      <c r="C3" s="1" t="str">
        <f aca="false">Underwriting!$C3</f>
        <v>Flip</v>
      </c>
      <c r="D3" s="31" t="n">
        <f aca="false">Underwriting!$D3</f>
        <v>116429.489064039</v>
      </c>
      <c r="E3" s="14" t="n">
        <f aca="false">IF(Underwriting!$A3="","",Underwriting!$D3)</f>
        <v>116429.489064039</v>
      </c>
      <c r="F3" s="16" t="str">
        <f aca="false">IF(Underwriting!$A3="","",IF(Underwriting!$D3&gt;0,"Y","N"))</f>
        <v>Y</v>
      </c>
      <c r="G3" s="31" t="n">
        <f aca="false">IF(Underwriting!$A3="","",N(E3)*(DownPct+BuyerPremium))</f>
        <v>13389.3912423645</v>
      </c>
      <c r="H3" s="31" t="n">
        <f aca="false">IF(Underwriting!$A3="","",IF(N(E3)&gt;0,N(E3)*(1-DownPct)+35,0))</f>
        <v>104821.540157635</v>
      </c>
      <c r="I3" s="31" t="n">
        <f aca="false">IF(Underwriting!$A3="","",IF(C3="Value-add hold",Underwriting!$AA3,Underwriting!$S3)+((N(E3))*(1+BuyerPremium)+IF(N(Deals!S3)=0,0,MIN(N(Deals!S3),MAX(0,N(Deals!S3)+SheriffCostsFromBid-(N(E3))*(1-RTTPurchase)))))-N(E3)*(1+BuyerPremium))</f>
        <v>119688.4686</v>
      </c>
      <c r="J3" s="31" t="n">
        <f aca="false">IF(Underwriting!$A3="","",G3+H3+I3)</f>
        <v>237899.4</v>
      </c>
      <c r="K3" s="31" t="n">
        <f aca="false">IF(Underwriting!$A3="","",SUMIF($F$3:F3,"Y",$J$3:J3))</f>
        <v>237899.4</v>
      </c>
      <c r="L3" s="1" t="str">
        <f aca="false">IF(Underwriting!$A3="","",IF(C3="Value-add hold",TEXT(IFERROR(Underwriting!$Z3/(((N(E3))*(1+BuyerPremium)+IF(N(Deals!S3)=0,0,MIN(N(Deals!S3),MAX(0,N(Deals!S3)+SheriffCostsFromBid-(N(E3))*(1-RTTPurchase)))))+Underwriting!$AA3),0),"0.0%")&amp;" yield on cost",TEXT(Underwriting!$T3-((N(E3))*(1+BuyerPremium)+IF(N(Deals!S3)=0,0,MIN(N(Deals!S3),MAX(0,N(Deals!S3)+SheriffCostsFromBid-(N(E3))*(1-RTTPurchase))))),"$#,##0")&amp;" flip profit"))</f>
        <v>$83,253 flip profit</v>
      </c>
    </row>
    <row r="4" customFormat="false" ht="15" hidden="false" customHeight="true" outlineLevel="0" collapsed="false">
      <c r="A4" s="1" t="str">
        <f aca="false">Underwriting!$A4</f>
        <v>1318974-1</v>
      </c>
      <c r="B4" s="1" t="str">
        <f aca="false">Underwriting!$B4</f>
        <v>1 Base: ARV 395k, Medium (+$8k roof/front), occupied</v>
      </c>
      <c r="C4" s="1" t="str">
        <f aca="false">Underwriting!$C4</f>
        <v>Flip</v>
      </c>
      <c r="D4" s="31" t="n">
        <f aca="false">Underwriting!$D4</f>
        <v>166944.441377451</v>
      </c>
      <c r="E4" s="14" t="n">
        <f aca="false">IF(Underwriting!$A4="","",Underwriting!$D4)</f>
        <v>166944.441377451</v>
      </c>
      <c r="F4" s="16" t="str">
        <f aca="false">IF(Underwriting!$A4="","",IF(Underwriting!$D4&gt;0,"Y","N"))</f>
        <v>Y</v>
      </c>
      <c r="G4" s="31" t="n">
        <f aca="false">IF(Underwriting!$A4="","",N(E4)*(DownPct+BuyerPremium))</f>
        <v>19198.6107584069</v>
      </c>
      <c r="H4" s="31" t="n">
        <f aca="false">IF(Underwriting!$A4="","",IF(N(E4)&gt;0,N(E4)*(1-DownPct)+35,0))</f>
        <v>150284.997239706</v>
      </c>
      <c r="I4" s="31" t="n">
        <f aca="false">IF(Underwriting!$A4="","",IF(C4="Value-add hold",Underwriting!$AA4,Underwriting!$S4)+((N(E4))*(1+BuyerPremium)+IF(N(Deals!S4)=0,0,MIN(N(Deals!S4),MAX(0,N(Deals!S4)+SheriffCostsFromBid-(N(E4))*(1-RTTPurchase)))))-N(E4)*(1+BuyerPremium))</f>
        <v>100972.8637</v>
      </c>
      <c r="J4" s="31" t="n">
        <f aca="false">IF(Underwriting!$A4="","",G4+H4+I4)</f>
        <v>270456.471698113</v>
      </c>
      <c r="K4" s="31" t="n">
        <f aca="false">IF(Underwriting!$A4="","",SUMIF($F$3:F4,"Y",$J$3:J4))</f>
        <v>508355.871698113</v>
      </c>
      <c r="L4" s="1" t="str">
        <f aca="false">IF(Underwriting!$A4="","",IF(C4="Value-add hold",TEXT(IFERROR(Underwriting!$Z4/(((N(E4))*(1+BuyerPremium)+IF(N(Deals!S4)=0,0,MIN(N(Deals!S4),MAX(0,N(Deals!S4)+SheriffCostsFromBid-(N(E4))*(1-RTTPurchase)))))+Underwriting!$AA4),0),"0.0%")&amp;" yield on cost",TEXT(Underwriting!$T4-((N(E4))*(1+BuyerPremium)+IF(N(Deals!S4)=0,0,MIN(N(Deals!S4),MAX(0,N(Deals!S4)+SheriffCostsFromBid-(N(E4))*(1-RTTPurchase))))),"$#,##0")&amp;" flip profit"))</f>
        <v>$87,887 flip profit</v>
      </c>
    </row>
    <row r="5" customFormat="false" ht="15" hidden="false" customHeight="true" outlineLevel="0" collapsed="false">
      <c r="A5" s="1" t="str">
        <f aca="false">Underwriting!$A5</f>
        <v>1318974-2</v>
      </c>
      <c r="B5" s="1" t="str">
        <f aca="false">Underwriting!$B5</f>
        <v>2 Base but vacant at deed</v>
      </c>
      <c r="C5" s="1" t="str">
        <f aca="false">Underwriting!$C5</f>
        <v>Flip</v>
      </c>
      <c r="D5" s="31" t="n">
        <f aca="false">Underwriting!$D5</f>
        <v>204518.472687242</v>
      </c>
      <c r="E5" s="14" t="n">
        <f aca="false">IF(Underwriting!$A5="","",Underwriting!$D5)</f>
        <v>204518.472687242</v>
      </c>
      <c r="F5" s="16" t="str">
        <f aca="false">IF(Underwriting!$A5="","",IF(Underwriting!$D5&gt;0,"Y","N"))</f>
        <v>Y</v>
      </c>
      <c r="G5" s="31" t="n">
        <f aca="false">IF(Underwriting!$A5="","",N(E5)*(DownPct+BuyerPremium))</f>
        <v>23519.6243590329</v>
      </c>
      <c r="H5" s="31" t="n">
        <f aca="false">IF(Underwriting!$A5="","",IF(N(E5)&gt;0,N(E5)*(1-DownPct)+35,0))</f>
        <v>184101.625418518</v>
      </c>
      <c r="I5" s="31" t="n">
        <f aca="false">IF(Underwriting!$A5="","",IF(C5="Value-add hold",Underwriting!$AA5,Underwriting!$S5)+((N(E5))*(1+BuyerPremium)+IF(N(Deals!S5)=0,0,MIN(N(Deals!S5),MAX(0,N(Deals!S5)+SheriffCostsFromBid-(N(E5))*(1-RTTPurchase)))))-N(E5)*(1+BuyerPremium))</f>
        <v>84910.4441</v>
      </c>
      <c r="J5" s="31" t="n">
        <f aca="false">IF(Underwriting!$A5="","",G5+H5+I5)</f>
        <v>292531.693877551</v>
      </c>
      <c r="K5" s="31" t="n">
        <f aca="false">IF(Underwriting!$A5="","",SUMIF($F$3:F5,"Y",$J$3:J5))</f>
        <v>800887.565575664</v>
      </c>
      <c r="L5" s="1" t="str">
        <f aca="false">IF(Underwriting!$A5="","",IF(C5="Value-add hold",TEXT(IFERROR(Underwriting!$Z5/(((N(E5))*(1+BuyerPremium)+IF(N(Deals!S5)=0,0,MIN(N(Deals!S5),MAX(0,N(Deals!S5)+SheriffCostsFromBid-(N(E5))*(1-RTTPurchase)))))+Underwriting!$AA5),0),"0.0%")&amp;" yield on cost",TEXT(Underwriting!$T5-((N(E5))*(1+BuyerPremium)+IF(N(Deals!S5)=0,0,MIN(N(Deals!S5),MAX(0,N(Deals!S5)+SheriffCostsFromBid-(N(E5))*(1-RTTPurchase))))),"$#,##0")&amp;" flip profit"))</f>
        <v>$65,812 flip profit</v>
      </c>
    </row>
    <row r="6" customFormat="false" ht="15" hidden="false" customHeight="true" outlineLevel="0" collapsed="false">
      <c r="A6" s="1" t="str">
        <f aca="false">Underwriting!$A6</f>
        <v>1318974-3</v>
      </c>
      <c r="B6" s="1" t="str">
        <f aca="false">Underwriting!$B6</f>
        <v>3 Light cosmetic: ARV 375k, Light, occupied</v>
      </c>
      <c r="C6" s="1" t="str">
        <f aca="false">Underwriting!$C6</f>
        <v>Flip</v>
      </c>
      <c r="D6" s="31" t="n">
        <f aca="false">Underwriting!$D6</f>
        <v>185181.501935257</v>
      </c>
      <c r="E6" s="14" t="n">
        <f aca="false">IF(Underwriting!$A6="","",Underwriting!$D6)</f>
        <v>185181.501935257</v>
      </c>
      <c r="F6" s="16" t="str">
        <f aca="false">IF(Underwriting!$A6="","",IF(Underwriting!$D6&gt;0,"Y","N"))</f>
        <v>Y</v>
      </c>
      <c r="G6" s="31" t="n">
        <f aca="false">IF(Underwriting!$A6="","",N(E6)*(DownPct+BuyerPremium))</f>
        <v>21295.8727225545</v>
      </c>
      <c r="H6" s="31" t="n">
        <f aca="false">IF(Underwriting!$A6="","",IF(N(E6)&gt;0,N(E6)*(1-DownPct)+35,0))</f>
        <v>166698.351741731</v>
      </c>
      <c r="I6" s="31" t="n">
        <f aca="false">IF(Underwriting!$A6="","",IF(C6="Value-add hold",Underwriting!$AA6,Underwriting!$S6)+((N(E6))*(1+BuyerPremium)+IF(N(Deals!S6)=0,0,MIN(N(Deals!S6),MAX(0,N(Deals!S6)+SheriffCostsFromBid-(N(E6))*(1-RTTPurchase)))))-N(E6)*(1+BuyerPremium))</f>
        <v>71215.06125</v>
      </c>
      <c r="J6" s="31" t="n">
        <f aca="false">IF(Underwriting!$A6="","",G6+H6+I6)</f>
        <v>259209.285714286</v>
      </c>
      <c r="K6" s="31" t="n">
        <f aca="false">IF(Underwriting!$A6="","",SUMIF($F$3:F6,"Y",$J$3:J6))</f>
        <v>1060096.85128995</v>
      </c>
      <c r="L6" s="1" t="str">
        <f aca="false">IF(Underwriting!$A6="","",IF(C6="Value-add hold",TEXT(IFERROR(Underwriting!$Z6/(((N(E6))*(1+BuyerPremium)+IF(N(Deals!S6)=0,0,MIN(N(Deals!S6),MAX(0,N(Deals!S6)+SheriffCostsFromBid-(N(E6))*(1-RTTPurchase)))))+Underwriting!$AA6),0),"0.0%")&amp;" yield on cost",TEXT(Underwriting!$T6-((N(E6))*(1+BuyerPremium)+IF(N(Deals!S6)=0,0,MIN(N(Deals!S6),MAX(0,N(Deals!S6)+SheriffCostsFromBid-(N(E6))*(1-RTTPurchase))))),"$#,##0")&amp;" flip profit"))</f>
        <v>$80,992 flip profit</v>
      </c>
    </row>
    <row r="7" customFormat="false" ht="15" hidden="false" customHeight="true" outlineLevel="0" collapsed="false">
      <c r="A7" s="1" t="str">
        <f aca="false">Underwriting!$A7</f>
        <v>1318974-4</v>
      </c>
      <c r="B7" s="1" t="str">
        <f aca="false">Underwriting!$B7</f>
        <v>4 Downside: ARV 365k, Heavy, occupied</v>
      </c>
      <c r="C7" s="1" t="str">
        <f aca="false">Underwriting!$C7</f>
        <v>Flip</v>
      </c>
      <c r="D7" s="31" t="n">
        <f aca="false">Underwriting!$D7</f>
        <v>123711.525188834</v>
      </c>
      <c r="E7" s="14" t="n">
        <f aca="false">IF(Underwriting!$A7="","",Underwriting!$D7)</f>
        <v>123711.525188834</v>
      </c>
      <c r="F7" s="16" t="str">
        <f aca="false">IF(Underwriting!$A7="","",IF(Underwriting!$D7&gt;0,"Y","N"))</f>
        <v>Y</v>
      </c>
      <c r="G7" s="31" t="n">
        <f aca="false">IF(Underwriting!$A7="","",N(E7)*(DownPct+BuyerPremium))</f>
        <v>14226.8253967159</v>
      </c>
      <c r="H7" s="31" t="n">
        <f aca="false">IF(Underwriting!$A7="","",IF(N(E7)&gt;0,N(E7)*(1-DownPct)+35,0))</f>
        <v>111375.372669951</v>
      </c>
      <c r="I7" s="31" t="n">
        <f aca="false">IF(Underwriting!$A7="","",IF(C7="Value-add hold",Underwriting!$AA7,Underwriting!$S7)+((N(E7))*(1+BuyerPremium)+IF(N(Deals!S7)=0,0,MIN(N(Deals!S7),MAX(0,N(Deals!S7)+SheriffCostsFromBid-(N(E7))*(1-RTTPurchase)))))-N(E7)*(1+BuyerPremium))</f>
        <v>119688.4686</v>
      </c>
      <c r="J7" s="31" t="n">
        <f aca="false">IF(Underwriting!$A7="","",G7+H7+I7)</f>
        <v>245290.666666667</v>
      </c>
      <c r="K7" s="31" t="n">
        <f aca="false">IF(Underwriting!$A7="","",SUMIF($F$3:F7,"Y",$J$3:J7))</f>
        <v>1305387.51795662</v>
      </c>
      <c r="L7" s="1" t="str">
        <f aca="false">IF(Underwriting!$A7="","",IF(C7="Value-add hold",TEXT(IFERROR(Underwriting!$Z7/(((N(E7))*(1+BuyerPremium)+IF(N(Deals!S7)=0,0,MIN(N(Deals!S7),MAX(0,N(Deals!S7)+SheriffCostsFromBid-(N(E7))*(1-RTTPurchase)))))+Underwriting!$AA7),0),"0.0%")&amp;" yield on cost",TEXT(Underwriting!$T7-((N(E7))*(1+BuyerPremium)+IF(N(Deals!S7)=0,0,MIN(N(Deals!S7),MAX(0,N(Deals!S7)+SheriffCostsFromBid-(N(E7))*(1-RTTPurchase))))),"$#,##0")&amp;" flip profit"))</f>
        <v>$85,839 flip profit</v>
      </c>
    </row>
    <row r="8" customFormat="false" ht="15" hidden="false" customHeight="true" outlineLevel="0" collapsed="false">
      <c r="A8" s="1" t="str">
        <f aca="false">Underwriting!$A8</f>
        <v>1318974-5</v>
      </c>
      <c r="B8" s="1" t="str">
        <f aca="false">Underwriting!$B8</f>
        <v>5 Upside: ARV 425k, Medium + half bath, occupied</v>
      </c>
      <c r="C8" s="1" t="str">
        <f aca="false">Underwriting!$C8</f>
        <v>Flip</v>
      </c>
      <c r="D8" s="31" t="n">
        <f aca="false">Underwriting!$D8</f>
        <v>175356.598641138</v>
      </c>
      <c r="E8" s="14" t="n">
        <f aca="false">IF(Underwriting!$A8="","",Underwriting!$D8)</f>
        <v>175356.598641138</v>
      </c>
      <c r="F8" s="16" t="str">
        <f aca="false">IF(Underwriting!$A8="","",IF(Underwriting!$D8&gt;0,"Y","N"))</f>
        <v>Y</v>
      </c>
      <c r="G8" s="31" t="n">
        <f aca="false">IF(Underwriting!$A8="","",N(E8)*(DownPct+BuyerPremium))</f>
        <v>20166.0088437308</v>
      </c>
      <c r="H8" s="31" t="n">
        <f aca="false">IF(Underwriting!$A8="","",IF(N(E8)&gt;0,N(E8)*(1-DownPct)+35,0))</f>
        <v>157855.938777024</v>
      </c>
      <c r="I8" s="31" t="n">
        <f aca="false">IF(Underwriting!$A8="","",IF(C8="Value-add hold",Underwriting!$AA8,Underwriting!$S8)+((N(E8))*(1+BuyerPremium)+IF(N(Deals!S8)=0,0,MIN(N(Deals!S8),MAX(0,N(Deals!S8)+SheriffCostsFromBid-(N(E8))*(1-RTTPurchase)))))-N(E8)*(1+BuyerPremium))</f>
        <v>112972.8637</v>
      </c>
      <c r="J8" s="31" t="n">
        <f aca="false">IF(Underwriting!$A8="","",G8+H8+I8)</f>
        <v>290994.811320755</v>
      </c>
      <c r="K8" s="31" t="n">
        <f aca="false">IF(Underwriting!$A8="","",SUMIF($F$3:F8,"Y",$J$3:J8))</f>
        <v>1596382.32927737</v>
      </c>
      <c r="L8" s="1" t="str">
        <f aca="false">IF(Underwriting!$A8="","",IF(C8="Value-add hold",TEXT(IFERROR(Underwriting!$Z8/(((N(E8))*(1+BuyerPremium)+IF(N(Deals!S8)=0,0,MIN(N(Deals!S8),MAX(0,N(Deals!S8)+SheriffCostsFromBid-(N(E8))*(1-RTTPurchase)))))+Underwriting!$AA8),0),"0.0%")&amp;" yield on cost",TEXT(Underwriting!$T8-((N(E8))*(1+BuyerPremium)+IF(N(Deals!S8)=0,0,MIN(N(Deals!S8),MAX(0,N(Deals!S8)+SheriffCostsFromBid-(N(E8))*(1-RTTPurchase))))),"$#,##0")&amp;" flip profit"))</f>
        <v>$94,562 flip profit</v>
      </c>
    </row>
    <row r="9" customFormat="false" ht="15" hidden="false" customHeight="true" outlineLevel="0" collapsed="false">
      <c r="A9" s="1" t="str">
        <f aca="false">Underwriting!$A9</f>
        <v>1318974-6</v>
      </c>
      <c r="B9" s="1" t="str">
        <f aca="false">Underwriting!$B9</f>
        <v>6 Slow ejectment proxy: ARV 395k, Medium, occupied, Heavy timeline</v>
      </c>
      <c r="C9" s="1" t="str">
        <f aca="false">Underwriting!$C9</f>
        <v>Flip</v>
      </c>
      <c r="D9" s="31" t="n">
        <f aca="false">Underwriting!$D9</f>
        <v>143571.623711002</v>
      </c>
      <c r="E9" s="14" t="n">
        <f aca="false">IF(Underwriting!$A9="","",Underwriting!$D9)</f>
        <v>143571.623711002</v>
      </c>
      <c r="F9" s="16" t="str">
        <f aca="false">IF(Underwriting!$A9="","",IF(Underwriting!$D9&gt;0,"Y","N"))</f>
        <v>Y</v>
      </c>
      <c r="G9" s="31" t="n">
        <f aca="false">IF(Underwriting!$A9="","",N(E9)*(DownPct+BuyerPremium))</f>
        <v>16510.7367267652</v>
      </c>
      <c r="H9" s="31" t="n">
        <f aca="false">IF(Underwriting!$A9="","",IF(N(E9)&gt;0,N(E9)*(1-DownPct)+35,0))</f>
        <v>129249.461339901</v>
      </c>
      <c r="I9" s="31" t="n">
        <f aca="false">IF(Underwriting!$A9="","",IF(C9="Value-add hold",Underwriting!$AA9,Underwriting!$S9)+((N(E9))*(1+BuyerPremium)+IF(N(Deals!S9)=0,0,MIN(N(Deals!S9),MAX(0,N(Deals!S9)+SheriffCostsFromBid-(N(E9))*(1-RTTPurchase)))))-N(E9)*(1+BuyerPremium))</f>
        <v>119688.4686</v>
      </c>
      <c r="J9" s="31" t="n">
        <f aca="false">IF(Underwriting!$A9="","",G9+H9+I9)</f>
        <v>265448.666666667</v>
      </c>
      <c r="K9" s="31" t="n">
        <f aca="false">IF(Underwriting!$A9="","",SUMIF($F$3:F9,"Y",$J$3:J9))</f>
        <v>1861830.99594404</v>
      </c>
      <c r="L9" s="1" t="str">
        <f aca="false">IF(Underwriting!$A9="","",IF(C9="Value-add hold",TEXT(IFERROR(Underwriting!$Z9/(((N(E9))*(1+BuyerPremium)+IF(N(Deals!S9)=0,0,MIN(N(Deals!S9),MAX(0,N(Deals!S9)+SheriffCostsFromBid-(N(E9))*(1-RTTPurchase)))))+Underwriting!$AA9),0),"0.0%")&amp;" yield on cost",TEXT(Underwriting!$T9-((N(E9))*(1+BuyerPremium)+IF(N(Deals!S9)=0,0,MIN(N(Deals!S9),MAX(0,N(Deals!S9)+SheriffCostsFromBid-(N(E9))*(1-RTTPurchase))))),"$#,##0")&amp;" flip profit"))</f>
        <v>$92,895 flip profit</v>
      </c>
    </row>
    <row r="10" customFormat="false" ht="15" hidden="false" customHeight="true" outlineLevel="0" collapsed="false">
      <c r="A10" s="1" t="str">
        <f aca="false">Underwriting!$A10</f>
        <v/>
      </c>
      <c r="B10" s="1" t="str">
        <f aca="false">Underwriting!$B10</f>
        <v/>
      </c>
      <c r="C10" s="1" t="str">
        <f aca="false">Underwriting!$C10</f>
        <v/>
      </c>
      <c r="D10" s="31" t="str">
        <f aca="false">Underwriting!$D10</f>
        <v/>
      </c>
      <c r="E10" s="14" t="str">
        <f aca="false">IF(Underwriting!$A10="","",Underwriting!$D10)</f>
        <v/>
      </c>
      <c r="F10" s="16" t="str">
        <f aca="false">IF(Underwriting!$A10="","",IF(Underwriting!$D10&gt;0,"Y","N"))</f>
        <v/>
      </c>
      <c r="G10" s="31" t="str">
        <f aca="false">IF(Underwriting!$A10="","",N(E10)*(DownPct+BuyerPremium))</f>
        <v/>
      </c>
      <c r="H10" s="31" t="str">
        <f aca="false">IF(Underwriting!$A10="","",IF(N(E10)&gt;0,N(E10)*(1-DownPct)+35,0))</f>
        <v/>
      </c>
      <c r="I10" s="31" t="str">
        <f aca="false">IF(Underwriting!$A10="","",IF(C10="Value-add hold",Underwriting!$AA10,Underwriting!$S10)+((N(E10))*(1+BuyerPremium)+IF(N(Deals!S10)=0,0,MIN(N(Deals!S10),MAX(0,N(Deals!S10)+SheriffCostsFromBid-(N(E10))*(1-RTTPurchase)))))-N(E10)*(1+BuyerPremium))</f>
        <v/>
      </c>
      <c r="J10" s="31" t="str">
        <f aca="false">IF(Underwriting!$A10="","",G10+H10+I10)</f>
        <v/>
      </c>
      <c r="K10" s="31" t="str">
        <f aca="false">IF(Underwriting!$A10="","",SUMIF($F$3:F10,"Y",$J$3:J10))</f>
        <v/>
      </c>
      <c r="L10" s="1" t="str">
        <f aca="false">IF(Underwriting!$A10="","",IF(C10="Value-add hold",TEXT(IFERROR(Underwriting!$Z10/(((N(E10))*(1+BuyerPremium)+IF(N(Deals!S10)=0,0,MIN(N(Deals!S10),MAX(0,N(Deals!S10)+SheriffCostsFromBid-(N(E10))*(1-RTTPurchase)))))+Underwriting!$AA10),0),"0.0%")&amp;" yield on cost",TEXT(Underwriting!$T10-((N(E10))*(1+BuyerPremium)+IF(N(Deals!S10)=0,0,MIN(N(Deals!S10),MAX(0,N(Deals!S10)+SheriffCostsFromBid-(N(E10))*(1-RTTPurchase))))),"$#,##0")&amp;" flip profit"))</f>
        <v/>
      </c>
    </row>
    <row r="11" customFormat="false" ht="15" hidden="false" customHeight="true" outlineLevel="0" collapsed="false">
      <c r="A11" s="1" t="str">
        <f aca="false">Underwriting!$A11</f>
        <v/>
      </c>
      <c r="B11" s="1" t="str">
        <f aca="false">Underwriting!$B11</f>
        <v/>
      </c>
      <c r="C11" s="1" t="str">
        <f aca="false">Underwriting!$C11</f>
        <v/>
      </c>
      <c r="D11" s="31" t="str">
        <f aca="false">Underwriting!$D11</f>
        <v/>
      </c>
      <c r="E11" s="14" t="str">
        <f aca="false">IF(Underwriting!$A11="","",Underwriting!$D11)</f>
        <v/>
      </c>
      <c r="F11" s="16" t="str">
        <f aca="false">IF(Underwriting!$A11="","",IF(Underwriting!$D11&gt;0,"Y","N"))</f>
        <v/>
      </c>
      <c r="G11" s="31" t="str">
        <f aca="false">IF(Underwriting!$A11="","",N(E11)*(DownPct+BuyerPremium))</f>
        <v/>
      </c>
      <c r="H11" s="31" t="str">
        <f aca="false">IF(Underwriting!$A11="","",IF(N(E11)&gt;0,N(E11)*(1-DownPct)+35,0))</f>
        <v/>
      </c>
      <c r="I11" s="31" t="str">
        <f aca="false">IF(Underwriting!$A11="","",IF(C11="Value-add hold",Underwriting!$AA11,Underwriting!$S11)+((N(E11))*(1+BuyerPremium)+IF(N(Deals!S11)=0,0,MIN(N(Deals!S11),MAX(0,N(Deals!S11)+SheriffCostsFromBid-(N(E11))*(1-RTTPurchase)))))-N(E11)*(1+BuyerPremium))</f>
        <v/>
      </c>
      <c r="J11" s="31" t="str">
        <f aca="false">IF(Underwriting!$A11="","",G11+H11+I11)</f>
        <v/>
      </c>
      <c r="K11" s="31" t="str">
        <f aca="false">IF(Underwriting!$A11="","",SUMIF($F$3:F11,"Y",$J$3:J11))</f>
        <v/>
      </c>
      <c r="L11" s="1" t="str">
        <f aca="false">IF(Underwriting!$A11="","",IF(C11="Value-add hold",TEXT(IFERROR(Underwriting!$Z11/(((N(E11))*(1+BuyerPremium)+IF(N(Deals!S11)=0,0,MIN(N(Deals!S11),MAX(0,N(Deals!S11)+SheriffCostsFromBid-(N(E11))*(1-RTTPurchase)))))+Underwriting!$AA11),0),"0.0%")&amp;" yield on cost",TEXT(Underwriting!$T11-((N(E11))*(1+BuyerPremium)+IF(N(Deals!S11)=0,0,MIN(N(Deals!S11),MAX(0,N(Deals!S11)+SheriffCostsFromBid-(N(E11))*(1-RTTPurchase))))),"$#,##0")&amp;" flip profit"))</f>
        <v/>
      </c>
    </row>
    <row r="12" customFormat="false" ht="15" hidden="false" customHeight="true" outlineLevel="0" collapsed="false">
      <c r="A12" s="1" t="str">
        <f aca="false">Underwriting!$A12</f>
        <v/>
      </c>
      <c r="B12" s="1" t="str">
        <f aca="false">Underwriting!$B12</f>
        <v/>
      </c>
      <c r="C12" s="1" t="str">
        <f aca="false">Underwriting!$C12</f>
        <v/>
      </c>
      <c r="D12" s="31" t="str">
        <f aca="false">Underwriting!$D12</f>
        <v/>
      </c>
      <c r="E12" s="14" t="str">
        <f aca="false">IF(Underwriting!$A12="","",Underwriting!$D12)</f>
        <v/>
      </c>
      <c r="F12" s="16" t="str">
        <f aca="false">IF(Underwriting!$A12="","",IF(Underwriting!$D12&gt;0,"Y","N"))</f>
        <v/>
      </c>
      <c r="G12" s="31" t="str">
        <f aca="false">IF(Underwriting!$A12="","",N(E12)*(DownPct+BuyerPremium))</f>
        <v/>
      </c>
      <c r="H12" s="31" t="str">
        <f aca="false">IF(Underwriting!$A12="","",IF(N(E12)&gt;0,N(E12)*(1-DownPct)+35,0))</f>
        <v/>
      </c>
      <c r="I12" s="31" t="str">
        <f aca="false">IF(Underwriting!$A12="","",IF(C12="Value-add hold",Underwriting!$AA12,Underwriting!$S12)+((N(E12))*(1+BuyerPremium)+IF(N(Deals!S12)=0,0,MIN(N(Deals!S12),MAX(0,N(Deals!S12)+SheriffCostsFromBid-(N(E12))*(1-RTTPurchase)))))-N(E12)*(1+BuyerPremium))</f>
        <v/>
      </c>
      <c r="J12" s="31" t="str">
        <f aca="false">IF(Underwriting!$A12="","",G12+H12+I12)</f>
        <v/>
      </c>
      <c r="K12" s="31" t="str">
        <f aca="false">IF(Underwriting!$A12="","",SUMIF($F$3:F12,"Y",$J$3:J12))</f>
        <v/>
      </c>
      <c r="L12" s="1" t="str">
        <f aca="false">IF(Underwriting!$A12="","",IF(C12="Value-add hold",TEXT(IFERROR(Underwriting!$Z12/(((N(E12))*(1+BuyerPremium)+IF(N(Deals!S12)=0,0,MIN(N(Deals!S12),MAX(0,N(Deals!S12)+SheriffCostsFromBid-(N(E12))*(1-RTTPurchase)))))+Underwriting!$AA12),0),"0.0%")&amp;" yield on cost",TEXT(Underwriting!$T12-((N(E12))*(1+BuyerPremium)+IF(N(Deals!S12)=0,0,MIN(N(Deals!S12),MAX(0,N(Deals!S12)+SheriffCostsFromBid-(N(E12))*(1-RTTPurchase))))),"$#,##0")&amp;" flip profit"))</f>
        <v/>
      </c>
    </row>
    <row r="13" customFormat="false" ht="15" hidden="false" customHeight="true" outlineLevel="0" collapsed="false">
      <c r="A13" s="1" t="str">
        <f aca="false">Underwriting!$A13</f>
        <v/>
      </c>
      <c r="B13" s="1" t="str">
        <f aca="false">Underwriting!$B13</f>
        <v/>
      </c>
      <c r="C13" s="1" t="str">
        <f aca="false">Underwriting!$C13</f>
        <v/>
      </c>
      <c r="D13" s="31" t="str">
        <f aca="false">Underwriting!$D13</f>
        <v/>
      </c>
      <c r="E13" s="14" t="str">
        <f aca="false">IF(Underwriting!$A13="","",Underwriting!$D13)</f>
        <v/>
      </c>
      <c r="F13" s="16" t="str">
        <f aca="false">IF(Underwriting!$A13="","",IF(Underwriting!$D13&gt;0,"Y","N"))</f>
        <v/>
      </c>
      <c r="G13" s="31" t="str">
        <f aca="false">IF(Underwriting!$A13="","",N(E13)*(DownPct+BuyerPremium))</f>
        <v/>
      </c>
      <c r="H13" s="31" t="str">
        <f aca="false">IF(Underwriting!$A13="","",IF(N(E13)&gt;0,N(E13)*(1-DownPct)+35,0))</f>
        <v/>
      </c>
      <c r="I13" s="31" t="str">
        <f aca="false">IF(Underwriting!$A13="","",IF(C13="Value-add hold",Underwriting!$AA13,Underwriting!$S13)+((N(E13))*(1+BuyerPremium)+IF(N(Deals!S13)=0,0,MIN(N(Deals!S13),MAX(0,N(Deals!S13)+SheriffCostsFromBid-(N(E13))*(1-RTTPurchase)))))-N(E13)*(1+BuyerPremium))</f>
        <v/>
      </c>
      <c r="J13" s="31" t="str">
        <f aca="false">IF(Underwriting!$A13="","",G13+H13+I13)</f>
        <v/>
      </c>
      <c r="K13" s="31" t="str">
        <f aca="false">IF(Underwriting!$A13="","",SUMIF($F$3:F13,"Y",$J$3:J13))</f>
        <v/>
      </c>
      <c r="L13" s="1" t="str">
        <f aca="false">IF(Underwriting!$A13="","",IF(C13="Value-add hold",TEXT(IFERROR(Underwriting!$Z13/(((N(E13))*(1+BuyerPremium)+IF(N(Deals!S13)=0,0,MIN(N(Deals!S13),MAX(0,N(Deals!S13)+SheriffCostsFromBid-(N(E13))*(1-RTTPurchase)))))+Underwriting!$AA13),0),"0.0%")&amp;" yield on cost",TEXT(Underwriting!$T13-((N(E13))*(1+BuyerPremium)+IF(N(Deals!S13)=0,0,MIN(N(Deals!S13),MAX(0,N(Deals!S13)+SheriffCostsFromBid-(N(E13))*(1-RTTPurchase))))),"$#,##0")&amp;" flip profit"))</f>
        <v/>
      </c>
    </row>
    <row r="14" customFormat="false" ht="15" hidden="false" customHeight="true" outlineLevel="0" collapsed="false">
      <c r="A14" s="1" t="str">
        <f aca="false">Underwriting!$A14</f>
        <v/>
      </c>
      <c r="B14" s="1" t="str">
        <f aca="false">Underwriting!$B14</f>
        <v/>
      </c>
      <c r="C14" s="1" t="str">
        <f aca="false">Underwriting!$C14</f>
        <v/>
      </c>
      <c r="D14" s="31" t="str">
        <f aca="false">Underwriting!$D14</f>
        <v/>
      </c>
      <c r="E14" s="14" t="str">
        <f aca="false">IF(Underwriting!$A14="","",Underwriting!$D14)</f>
        <v/>
      </c>
      <c r="F14" s="16" t="str">
        <f aca="false">IF(Underwriting!$A14="","",IF(Underwriting!$D14&gt;0,"Y","N"))</f>
        <v/>
      </c>
      <c r="G14" s="31" t="str">
        <f aca="false">IF(Underwriting!$A14="","",N(E14)*(DownPct+BuyerPremium))</f>
        <v/>
      </c>
      <c r="H14" s="31" t="str">
        <f aca="false">IF(Underwriting!$A14="","",IF(N(E14)&gt;0,N(E14)*(1-DownPct)+35,0))</f>
        <v/>
      </c>
      <c r="I14" s="31" t="str">
        <f aca="false">IF(Underwriting!$A14="","",IF(C14="Value-add hold",Underwriting!$AA14,Underwriting!$S14)+((N(E14))*(1+BuyerPremium)+IF(N(Deals!S14)=0,0,MIN(N(Deals!S14),MAX(0,N(Deals!S14)+SheriffCostsFromBid-(N(E14))*(1-RTTPurchase)))))-N(E14)*(1+BuyerPremium))</f>
        <v/>
      </c>
      <c r="J14" s="31" t="str">
        <f aca="false">IF(Underwriting!$A14="","",G14+H14+I14)</f>
        <v/>
      </c>
      <c r="K14" s="31" t="str">
        <f aca="false">IF(Underwriting!$A14="","",SUMIF($F$3:F14,"Y",$J$3:J14))</f>
        <v/>
      </c>
      <c r="L14" s="1" t="str">
        <f aca="false">IF(Underwriting!$A14="","",IF(C14="Value-add hold",TEXT(IFERROR(Underwriting!$Z14/(((N(E14))*(1+BuyerPremium)+IF(N(Deals!S14)=0,0,MIN(N(Deals!S14),MAX(0,N(Deals!S14)+SheriffCostsFromBid-(N(E14))*(1-RTTPurchase)))))+Underwriting!$AA14),0),"0.0%")&amp;" yield on cost",TEXT(Underwriting!$T14-((N(E14))*(1+BuyerPremium)+IF(N(Deals!S14)=0,0,MIN(N(Deals!S14),MAX(0,N(Deals!S14)+SheriffCostsFromBid-(N(E14))*(1-RTTPurchase))))),"$#,##0")&amp;" flip profit"))</f>
        <v/>
      </c>
    </row>
    <row r="15" customFormat="false" ht="15" hidden="false" customHeight="true" outlineLevel="0" collapsed="false">
      <c r="A15" s="1" t="str">
        <f aca="false">Underwriting!$A15</f>
        <v/>
      </c>
      <c r="B15" s="1" t="str">
        <f aca="false">Underwriting!$B15</f>
        <v/>
      </c>
      <c r="C15" s="1" t="str">
        <f aca="false">Underwriting!$C15</f>
        <v/>
      </c>
      <c r="D15" s="31" t="str">
        <f aca="false">Underwriting!$D15</f>
        <v/>
      </c>
      <c r="E15" s="14" t="str">
        <f aca="false">IF(Underwriting!$A15="","",Underwriting!$D15)</f>
        <v/>
      </c>
      <c r="F15" s="16" t="str">
        <f aca="false">IF(Underwriting!$A15="","",IF(Underwriting!$D15&gt;0,"Y","N"))</f>
        <v/>
      </c>
      <c r="G15" s="31" t="str">
        <f aca="false">IF(Underwriting!$A15="","",N(E15)*(DownPct+BuyerPremium))</f>
        <v/>
      </c>
      <c r="H15" s="31" t="str">
        <f aca="false">IF(Underwriting!$A15="","",IF(N(E15)&gt;0,N(E15)*(1-DownPct)+35,0))</f>
        <v/>
      </c>
      <c r="I15" s="31" t="str">
        <f aca="false">IF(Underwriting!$A15="","",IF(C15="Value-add hold",Underwriting!$AA15,Underwriting!$S15)+((N(E15))*(1+BuyerPremium)+IF(N(Deals!S15)=0,0,MIN(N(Deals!S15),MAX(0,N(Deals!S15)+SheriffCostsFromBid-(N(E15))*(1-RTTPurchase)))))-N(E15)*(1+BuyerPremium))</f>
        <v/>
      </c>
      <c r="J15" s="31" t="str">
        <f aca="false">IF(Underwriting!$A15="","",G15+H15+I15)</f>
        <v/>
      </c>
      <c r="K15" s="31" t="str">
        <f aca="false">IF(Underwriting!$A15="","",SUMIF($F$3:F15,"Y",$J$3:J15))</f>
        <v/>
      </c>
      <c r="L15" s="1" t="str">
        <f aca="false">IF(Underwriting!$A15="","",IF(C15="Value-add hold",TEXT(IFERROR(Underwriting!$Z15/(((N(E15))*(1+BuyerPremium)+IF(N(Deals!S15)=0,0,MIN(N(Deals!S15),MAX(0,N(Deals!S15)+SheriffCostsFromBid-(N(E15))*(1-RTTPurchase)))))+Underwriting!$AA15),0),"0.0%")&amp;" yield on cost",TEXT(Underwriting!$T15-((N(E15))*(1+BuyerPremium)+IF(N(Deals!S15)=0,0,MIN(N(Deals!S15),MAX(0,N(Deals!S15)+SheriffCostsFromBid-(N(E15))*(1-RTTPurchase))))),"$#,##0")&amp;" flip profit"))</f>
        <v/>
      </c>
    </row>
    <row r="16" customFormat="false" ht="15" hidden="false" customHeight="true" outlineLevel="0" collapsed="false">
      <c r="A16" s="1" t="str">
        <f aca="false">Underwriting!$A16</f>
        <v/>
      </c>
      <c r="B16" s="1" t="str">
        <f aca="false">Underwriting!$B16</f>
        <v/>
      </c>
      <c r="C16" s="1" t="str">
        <f aca="false">Underwriting!$C16</f>
        <v/>
      </c>
      <c r="D16" s="31" t="str">
        <f aca="false">Underwriting!$D16</f>
        <v/>
      </c>
      <c r="E16" s="14" t="str">
        <f aca="false">IF(Underwriting!$A16="","",Underwriting!$D16)</f>
        <v/>
      </c>
      <c r="F16" s="16" t="str">
        <f aca="false">IF(Underwriting!$A16="","",IF(Underwriting!$D16&gt;0,"Y","N"))</f>
        <v/>
      </c>
      <c r="G16" s="31" t="str">
        <f aca="false">IF(Underwriting!$A16="","",N(E16)*(DownPct+BuyerPremium))</f>
        <v/>
      </c>
      <c r="H16" s="31" t="str">
        <f aca="false">IF(Underwriting!$A16="","",IF(N(E16)&gt;0,N(E16)*(1-DownPct)+35,0))</f>
        <v/>
      </c>
      <c r="I16" s="31" t="str">
        <f aca="false">IF(Underwriting!$A16="","",IF(C16="Value-add hold",Underwriting!$AA16,Underwriting!$S16)+((N(E16))*(1+BuyerPremium)+IF(N(Deals!S16)=0,0,MIN(N(Deals!S16),MAX(0,N(Deals!S16)+SheriffCostsFromBid-(N(E16))*(1-RTTPurchase)))))-N(E16)*(1+BuyerPremium))</f>
        <v/>
      </c>
      <c r="J16" s="31" t="str">
        <f aca="false">IF(Underwriting!$A16="","",G16+H16+I16)</f>
        <v/>
      </c>
      <c r="K16" s="31" t="str">
        <f aca="false">IF(Underwriting!$A16="","",SUMIF($F$3:F16,"Y",$J$3:J16))</f>
        <v/>
      </c>
      <c r="L16" s="1" t="str">
        <f aca="false">IF(Underwriting!$A16="","",IF(C16="Value-add hold",TEXT(IFERROR(Underwriting!$Z16/(((N(E16))*(1+BuyerPremium)+IF(N(Deals!S16)=0,0,MIN(N(Deals!S16),MAX(0,N(Deals!S16)+SheriffCostsFromBid-(N(E16))*(1-RTTPurchase)))))+Underwriting!$AA16),0),"0.0%")&amp;" yield on cost",TEXT(Underwriting!$T16-((N(E16))*(1+BuyerPremium)+IF(N(Deals!S16)=0,0,MIN(N(Deals!S16),MAX(0,N(Deals!S16)+SheriffCostsFromBid-(N(E16))*(1-RTTPurchase))))),"$#,##0")&amp;" flip profit"))</f>
        <v/>
      </c>
    </row>
    <row r="17" customFormat="false" ht="15" hidden="false" customHeight="true" outlineLevel="0" collapsed="false">
      <c r="A17" s="1" t="str">
        <f aca="false">Underwriting!$A17</f>
        <v/>
      </c>
      <c r="B17" s="1" t="str">
        <f aca="false">Underwriting!$B17</f>
        <v/>
      </c>
      <c r="C17" s="1" t="str">
        <f aca="false">Underwriting!$C17</f>
        <v/>
      </c>
      <c r="D17" s="31" t="str">
        <f aca="false">Underwriting!$D17</f>
        <v/>
      </c>
      <c r="E17" s="14" t="str">
        <f aca="false">IF(Underwriting!$A17="","",Underwriting!$D17)</f>
        <v/>
      </c>
      <c r="F17" s="16" t="str">
        <f aca="false">IF(Underwriting!$A17="","",IF(Underwriting!$D17&gt;0,"Y","N"))</f>
        <v/>
      </c>
      <c r="G17" s="31" t="str">
        <f aca="false">IF(Underwriting!$A17="","",N(E17)*(DownPct+BuyerPremium))</f>
        <v/>
      </c>
      <c r="H17" s="31" t="str">
        <f aca="false">IF(Underwriting!$A17="","",IF(N(E17)&gt;0,N(E17)*(1-DownPct)+35,0))</f>
        <v/>
      </c>
      <c r="I17" s="31" t="str">
        <f aca="false">IF(Underwriting!$A17="","",IF(C17="Value-add hold",Underwriting!$AA17,Underwriting!$S17)+((N(E17))*(1+BuyerPremium)+IF(N(Deals!S17)=0,0,MIN(N(Deals!S17),MAX(0,N(Deals!S17)+SheriffCostsFromBid-(N(E17))*(1-RTTPurchase)))))-N(E17)*(1+BuyerPremium))</f>
        <v/>
      </c>
      <c r="J17" s="31" t="str">
        <f aca="false">IF(Underwriting!$A17="","",G17+H17+I17)</f>
        <v/>
      </c>
      <c r="K17" s="31" t="str">
        <f aca="false">IF(Underwriting!$A17="","",SUMIF($F$3:F17,"Y",$J$3:J17))</f>
        <v/>
      </c>
      <c r="L17" s="1" t="str">
        <f aca="false">IF(Underwriting!$A17="","",IF(C17="Value-add hold",TEXT(IFERROR(Underwriting!$Z17/(((N(E17))*(1+BuyerPremium)+IF(N(Deals!S17)=0,0,MIN(N(Deals!S17),MAX(0,N(Deals!S17)+SheriffCostsFromBid-(N(E17))*(1-RTTPurchase)))))+Underwriting!$AA17),0),"0.0%")&amp;" yield on cost",TEXT(Underwriting!$T17-((N(E17))*(1+BuyerPremium)+IF(N(Deals!S17)=0,0,MIN(N(Deals!S17),MAX(0,N(Deals!S17)+SheriffCostsFromBid-(N(E17))*(1-RTTPurchase))))),"$#,##0")&amp;" flip profit"))</f>
        <v/>
      </c>
    </row>
    <row r="18" customFormat="false" ht="15" hidden="false" customHeight="true" outlineLevel="0" collapsed="false">
      <c r="A18" s="1" t="str">
        <f aca="false">Underwriting!$A18</f>
        <v/>
      </c>
      <c r="B18" s="1" t="str">
        <f aca="false">Underwriting!$B18</f>
        <v/>
      </c>
      <c r="C18" s="1" t="str">
        <f aca="false">Underwriting!$C18</f>
        <v/>
      </c>
      <c r="D18" s="31" t="str">
        <f aca="false">Underwriting!$D18</f>
        <v/>
      </c>
      <c r="E18" s="14" t="str">
        <f aca="false">IF(Underwriting!$A18="","",Underwriting!$D18)</f>
        <v/>
      </c>
      <c r="F18" s="16" t="str">
        <f aca="false">IF(Underwriting!$A18="","",IF(Underwriting!$D18&gt;0,"Y","N"))</f>
        <v/>
      </c>
      <c r="G18" s="31" t="str">
        <f aca="false">IF(Underwriting!$A18="","",N(E18)*(DownPct+BuyerPremium))</f>
        <v/>
      </c>
      <c r="H18" s="31" t="str">
        <f aca="false">IF(Underwriting!$A18="","",IF(N(E18)&gt;0,N(E18)*(1-DownPct)+35,0))</f>
        <v/>
      </c>
      <c r="I18" s="31" t="str">
        <f aca="false">IF(Underwriting!$A18="","",IF(C18="Value-add hold",Underwriting!$AA18,Underwriting!$S18)+((N(E18))*(1+BuyerPremium)+IF(N(Deals!S18)=0,0,MIN(N(Deals!S18),MAX(0,N(Deals!S18)+SheriffCostsFromBid-(N(E18))*(1-RTTPurchase)))))-N(E18)*(1+BuyerPremium))</f>
        <v/>
      </c>
      <c r="J18" s="31" t="str">
        <f aca="false">IF(Underwriting!$A18="","",G18+H18+I18)</f>
        <v/>
      </c>
      <c r="K18" s="31" t="str">
        <f aca="false">IF(Underwriting!$A18="","",SUMIF($F$3:F18,"Y",$J$3:J18))</f>
        <v/>
      </c>
      <c r="L18" s="1" t="str">
        <f aca="false">IF(Underwriting!$A18="","",IF(C18="Value-add hold",TEXT(IFERROR(Underwriting!$Z18/(((N(E18))*(1+BuyerPremium)+IF(N(Deals!S18)=0,0,MIN(N(Deals!S18),MAX(0,N(Deals!S18)+SheriffCostsFromBid-(N(E18))*(1-RTTPurchase)))))+Underwriting!$AA18),0),"0.0%")&amp;" yield on cost",TEXT(Underwriting!$T18-((N(E18))*(1+BuyerPremium)+IF(N(Deals!S18)=0,0,MIN(N(Deals!S18),MAX(0,N(Deals!S18)+SheriffCostsFromBid-(N(E18))*(1-RTTPurchase))))),"$#,##0")&amp;" flip profit"))</f>
        <v/>
      </c>
    </row>
    <row r="19" customFormat="false" ht="15" hidden="false" customHeight="true" outlineLevel="0" collapsed="false">
      <c r="A19" s="1" t="str">
        <f aca="false">Underwriting!$A19</f>
        <v/>
      </c>
      <c r="B19" s="1" t="str">
        <f aca="false">Underwriting!$B19</f>
        <v/>
      </c>
      <c r="C19" s="1" t="str">
        <f aca="false">Underwriting!$C19</f>
        <v/>
      </c>
      <c r="D19" s="31" t="str">
        <f aca="false">Underwriting!$D19</f>
        <v/>
      </c>
      <c r="E19" s="14" t="str">
        <f aca="false">IF(Underwriting!$A19="","",Underwriting!$D19)</f>
        <v/>
      </c>
      <c r="F19" s="16" t="str">
        <f aca="false">IF(Underwriting!$A19="","",IF(Underwriting!$D19&gt;0,"Y","N"))</f>
        <v/>
      </c>
      <c r="G19" s="31" t="str">
        <f aca="false">IF(Underwriting!$A19="","",N(E19)*(DownPct+BuyerPremium))</f>
        <v/>
      </c>
      <c r="H19" s="31" t="str">
        <f aca="false">IF(Underwriting!$A19="","",IF(N(E19)&gt;0,N(E19)*(1-DownPct)+35,0))</f>
        <v/>
      </c>
      <c r="I19" s="31" t="str">
        <f aca="false">IF(Underwriting!$A19="","",IF(C19="Value-add hold",Underwriting!$AA19,Underwriting!$S19)+((N(E19))*(1+BuyerPremium)+IF(N(Deals!S19)=0,0,MIN(N(Deals!S19),MAX(0,N(Deals!S19)+SheriffCostsFromBid-(N(E19))*(1-RTTPurchase)))))-N(E19)*(1+BuyerPremium))</f>
        <v/>
      </c>
      <c r="J19" s="31" t="str">
        <f aca="false">IF(Underwriting!$A19="","",G19+H19+I19)</f>
        <v/>
      </c>
      <c r="K19" s="31" t="str">
        <f aca="false">IF(Underwriting!$A19="","",SUMIF($F$3:F19,"Y",$J$3:J19))</f>
        <v/>
      </c>
      <c r="L19" s="1" t="str">
        <f aca="false">IF(Underwriting!$A19="","",IF(C19="Value-add hold",TEXT(IFERROR(Underwriting!$Z19/(((N(E19))*(1+BuyerPremium)+IF(N(Deals!S19)=0,0,MIN(N(Deals!S19),MAX(0,N(Deals!S19)+SheriffCostsFromBid-(N(E19))*(1-RTTPurchase)))))+Underwriting!$AA19),0),"0.0%")&amp;" yield on cost",TEXT(Underwriting!$T19-((N(E19))*(1+BuyerPremium)+IF(N(Deals!S19)=0,0,MIN(N(Deals!S19),MAX(0,N(Deals!S19)+SheriffCostsFromBid-(N(E19))*(1-RTTPurchase))))),"$#,##0")&amp;" flip profit"))</f>
        <v/>
      </c>
    </row>
    <row r="20" customFormat="false" ht="15" hidden="false" customHeight="true" outlineLevel="0" collapsed="false">
      <c r="A20" s="1" t="str">
        <f aca="false">Underwriting!$A20</f>
        <v/>
      </c>
      <c r="B20" s="1" t="str">
        <f aca="false">Underwriting!$B20</f>
        <v/>
      </c>
      <c r="C20" s="1" t="str">
        <f aca="false">Underwriting!$C20</f>
        <v/>
      </c>
      <c r="D20" s="31" t="str">
        <f aca="false">Underwriting!$D20</f>
        <v/>
      </c>
      <c r="E20" s="14" t="str">
        <f aca="false">IF(Underwriting!$A20="","",Underwriting!$D20)</f>
        <v/>
      </c>
      <c r="F20" s="16" t="str">
        <f aca="false">IF(Underwriting!$A20="","",IF(Underwriting!$D20&gt;0,"Y","N"))</f>
        <v/>
      </c>
      <c r="G20" s="31" t="str">
        <f aca="false">IF(Underwriting!$A20="","",N(E20)*(DownPct+BuyerPremium))</f>
        <v/>
      </c>
      <c r="H20" s="31" t="str">
        <f aca="false">IF(Underwriting!$A20="","",IF(N(E20)&gt;0,N(E20)*(1-DownPct)+35,0))</f>
        <v/>
      </c>
      <c r="I20" s="31" t="str">
        <f aca="false">IF(Underwriting!$A20="","",IF(C20="Value-add hold",Underwriting!$AA20,Underwriting!$S20)+((N(E20))*(1+BuyerPremium)+IF(N(Deals!S20)=0,0,MIN(N(Deals!S20),MAX(0,N(Deals!S20)+SheriffCostsFromBid-(N(E20))*(1-RTTPurchase)))))-N(E20)*(1+BuyerPremium))</f>
        <v/>
      </c>
      <c r="J20" s="31" t="str">
        <f aca="false">IF(Underwriting!$A20="","",G20+H20+I20)</f>
        <v/>
      </c>
      <c r="K20" s="31" t="str">
        <f aca="false">IF(Underwriting!$A20="","",SUMIF($F$3:F20,"Y",$J$3:J20))</f>
        <v/>
      </c>
      <c r="L20" s="1" t="str">
        <f aca="false">IF(Underwriting!$A20="","",IF(C20="Value-add hold",TEXT(IFERROR(Underwriting!$Z20/(((N(E20))*(1+BuyerPremium)+IF(N(Deals!S20)=0,0,MIN(N(Deals!S20),MAX(0,N(Deals!S20)+SheriffCostsFromBid-(N(E20))*(1-RTTPurchase)))))+Underwriting!$AA20),0),"0.0%")&amp;" yield on cost",TEXT(Underwriting!$T20-((N(E20))*(1+BuyerPremium)+IF(N(Deals!S20)=0,0,MIN(N(Deals!S20),MAX(0,N(Deals!S20)+SheriffCostsFromBid-(N(E20))*(1-RTTPurchase))))),"$#,##0")&amp;" flip profit"))</f>
        <v/>
      </c>
    </row>
    <row r="21" customFormat="false" ht="15" hidden="false" customHeight="true" outlineLevel="0" collapsed="false">
      <c r="A21" s="1" t="str">
        <f aca="false">Underwriting!$A21</f>
        <v/>
      </c>
      <c r="B21" s="1" t="str">
        <f aca="false">Underwriting!$B21</f>
        <v/>
      </c>
      <c r="C21" s="1" t="str">
        <f aca="false">Underwriting!$C21</f>
        <v/>
      </c>
      <c r="D21" s="31" t="str">
        <f aca="false">Underwriting!$D21</f>
        <v/>
      </c>
      <c r="E21" s="14" t="str">
        <f aca="false">IF(Underwriting!$A21="","",Underwriting!$D21)</f>
        <v/>
      </c>
      <c r="F21" s="16" t="str">
        <f aca="false">IF(Underwriting!$A21="","",IF(Underwriting!$D21&gt;0,"Y","N"))</f>
        <v/>
      </c>
      <c r="G21" s="31" t="str">
        <f aca="false">IF(Underwriting!$A21="","",N(E21)*(DownPct+BuyerPremium))</f>
        <v/>
      </c>
      <c r="H21" s="31" t="str">
        <f aca="false">IF(Underwriting!$A21="","",IF(N(E21)&gt;0,N(E21)*(1-DownPct)+35,0))</f>
        <v/>
      </c>
      <c r="I21" s="31" t="str">
        <f aca="false">IF(Underwriting!$A21="","",IF(C21="Value-add hold",Underwriting!$AA21,Underwriting!$S21)+((N(E21))*(1+BuyerPremium)+IF(N(Deals!S21)=0,0,MIN(N(Deals!S21),MAX(0,N(Deals!S21)+SheriffCostsFromBid-(N(E21))*(1-RTTPurchase)))))-N(E21)*(1+BuyerPremium))</f>
        <v/>
      </c>
      <c r="J21" s="31" t="str">
        <f aca="false">IF(Underwriting!$A21="","",G21+H21+I21)</f>
        <v/>
      </c>
      <c r="K21" s="31" t="str">
        <f aca="false">IF(Underwriting!$A21="","",SUMIF($F$3:F21,"Y",$J$3:J21))</f>
        <v/>
      </c>
      <c r="L21" s="1" t="str">
        <f aca="false">IF(Underwriting!$A21="","",IF(C21="Value-add hold",TEXT(IFERROR(Underwriting!$Z21/(((N(E21))*(1+BuyerPremium)+IF(N(Deals!S21)=0,0,MIN(N(Deals!S21),MAX(0,N(Deals!S21)+SheriffCostsFromBid-(N(E21))*(1-RTTPurchase)))))+Underwriting!$AA21),0),"0.0%")&amp;" yield on cost",TEXT(Underwriting!$T21-((N(E21))*(1+BuyerPremium)+IF(N(Deals!S21)=0,0,MIN(N(Deals!S21),MAX(0,N(Deals!S21)+SheriffCostsFromBid-(N(E21))*(1-RTTPurchase))))),"$#,##0")&amp;" flip profit"))</f>
        <v/>
      </c>
    </row>
    <row r="22" customFormat="false" ht="15" hidden="false" customHeight="true" outlineLevel="0" collapsed="false">
      <c r="A22" s="1" t="str">
        <f aca="false">Underwriting!$A22</f>
        <v/>
      </c>
      <c r="B22" s="1" t="str">
        <f aca="false">Underwriting!$B22</f>
        <v/>
      </c>
      <c r="C22" s="1" t="str">
        <f aca="false">Underwriting!$C22</f>
        <v/>
      </c>
      <c r="D22" s="31" t="str">
        <f aca="false">Underwriting!$D22</f>
        <v/>
      </c>
      <c r="E22" s="14" t="str">
        <f aca="false">IF(Underwriting!$A22="","",Underwriting!$D22)</f>
        <v/>
      </c>
      <c r="F22" s="16" t="str">
        <f aca="false">IF(Underwriting!$A22="","",IF(Underwriting!$D22&gt;0,"Y","N"))</f>
        <v/>
      </c>
      <c r="G22" s="31" t="str">
        <f aca="false">IF(Underwriting!$A22="","",N(E22)*(DownPct+BuyerPremium))</f>
        <v/>
      </c>
      <c r="H22" s="31" t="str">
        <f aca="false">IF(Underwriting!$A22="","",IF(N(E22)&gt;0,N(E22)*(1-DownPct)+35,0))</f>
        <v/>
      </c>
      <c r="I22" s="31" t="str">
        <f aca="false">IF(Underwriting!$A22="","",IF(C22="Value-add hold",Underwriting!$AA22,Underwriting!$S22)+((N(E22))*(1+BuyerPremium)+IF(N(Deals!S22)=0,0,MIN(N(Deals!S22),MAX(0,N(Deals!S22)+SheriffCostsFromBid-(N(E22))*(1-RTTPurchase)))))-N(E22)*(1+BuyerPremium))</f>
        <v/>
      </c>
      <c r="J22" s="31" t="str">
        <f aca="false">IF(Underwriting!$A22="","",G22+H22+I22)</f>
        <v/>
      </c>
      <c r="K22" s="31" t="str">
        <f aca="false">IF(Underwriting!$A22="","",SUMIF($F$3:F22,"Y",$J$3:J22))</f>
        <v/>
      </c>
      <c r="L22" s="1" t="str">
        <f aca="false">IF(Underwriting!$A22="","",IF(C22="Value-add hold",TEXT(IFERROR(Underwriting!$Z22/(((N(E22))*(1+BuyerPremium)+IF(N(Deals!S22)=0,0,MIN(N(Deals!S22),MAX(0,N(Deals!S22)+SheriffCostsFromBid-(N(E22))*(1-RTTPurchase)))))+Underwriting!$AA22),0),"0.0%")&amp;" yield on cost",TEXT(Underwriting!$T22-((N(E22))*(1+BuyerPremium)+IF(N(Deals!S22)=0,0,MIN(N(Deals!S22),MAX(0,N(Deals!S22)+SheriffCostsFromBid-(N(E22))*(1-RTTPurchase))))),"$#,##0")&amp;" flip profit"))</f>
        <v/>
      </c>
    </row>
    <row r="23" customFormat="false" ht="15" hidden="false" customHeight="true" outlineLevel="0" collapsed="false">
      <c r="A23" s="1" t="str">
        <f aca="false">Underwriting!$A23</f>
        <v/>
      </c>
      <c r="B23" s="1" t="str">
        <f aca="false">Underwriting!$B23</f>
        <v/>
      </c>
      <c r="C23" s="1" t="str">
        <f aca="false">Underwriting!$C23</f>
        <v/>
      </c>
      <c r="D23" s="31" t="str">
        <f aca="false">Underwriting!$D23</f>
        <v/>
      </c>
      <c r="E23" s="14" t="str">
        <f aca="false">IF(Underwriting!$A23="","",Underwriting!$D23)</f>
        <v/>
      </c>
      <c r="F23" s="16" t="str">
        <f aca="false">IF(Underwriting!$A23="","",IF(Underwriting!$D23&gt;0,"Y","N"))</f>
        <v/>
      </c>
      <c r="G23" s="31" t="str">
        <f aca="false">IF(Underwriting!$A23="","",N(E23)*(DownPct+BuyerPremium))</f>
        <v/>
      </c>
      <c r="H23" s="31" t="str">
        <f aca="false">IF(Underwriting!$A23="","",IF(N(E23)&gt;0,N(E23)*(1-DownPct)+35,0))</f>
        <v/>
      </c>
      <c r="I23" s="31" t="str">
        <f aca="false">IF(Underwriting!$A23="","",IF(C23="Value-add hold",Underwriting!$AA23,Underwriting!$S23)+((N(E23))*(1+BuyerPremium)+IF(N(Deals!S23)=0,0,MIN(N(Deals!S23),MAX(0,N(Deals!S23)+SheriffCostsFromBid-(N(E23))*(1-RTTPurchase)))))-N(E23)*(1+BuyerPremium))</f>
        <v/>
      </c>
      <c r="J23" s="31" t="str">
        <f aca="false">IF(Underwriting!$A23="","",G23+H23+I23)</f>
        <v/>
      </c>
      <c r="K23" s="31" t="str">
        <f aca="false">IF(Underwriting!$A23="","",SUMIF($F$3:F23,"Y",$J$3:J23))</f>
        <v/>
      </c>
      <c r="L23" s="1" t="str">
        <f aca="false">IF(Underwriting!$A23="","",IF(C23="Value-add hold",TEXT(IFERROR(Underwriting!$Z23/(((N(E23))*(1+BuyerPremium)+IF(N(Deals!S23)=0,0,MIN(N(Deals!S23),MAX(0,N(Deals!S23)+SheriffCostsFromBid-(N(E23))*(1-RTTPurchase)))))+Underwriting!$AA23),0),"0.0%")&amp;" yield on cost",TEXT(Underwriting!$T23-((N(E23))*(1+BuyerPremium)+IF(N(Deals!S23)=0,0,MIN(N(Deals!S23),MAX(0,N(Deals!S23)+SheriffCostsFromBid-(N(E23))*(1-RTTPurchase))))),"$#,##0")&amp;" flip profit"))</f>
        <v/>
      </c>
    </row>
    <row r="24" customFormat="false" ht="15" hidden="false" customHeight="true" outlineLevel="0" collapsed="false">
      <c r="A24" s="1" t="str">
        <f aca="false">Underwriting!$A24</f>
        <v/>
      </c>
      <c r="B24" s="1" t="str">
        <f aca="false">Underwriting!$B24</f>
        <v/>
      </c>
      <c r="C24" s="1" t="str">
        <f aca="false">Underwriting!$C24</f>
        <v/>
      </c>
      <c r="D24" s="31" t="str">
        <f aca="false">Underwriting!$D24</f>
        <v/>
      </c>
      <c r="E24" s="14" t="str">
        <f aca="false">IF(Underwriting!$A24="","",Underwriting!$D24)</f>
        <v/>
      </c>
      <c r="F24" s="16" t="str">
        <f aca="false">IF(Underwriting!$A24="","",IF(Underwriting!$D24&gt;0,"Y","N"))</f>
        <v/>
      </c>
      <c r="G24" s="31" t="str">
        <f aca="false">IF(Underwriting!$A24="","",N(E24)*(DownPct+BuyerPremium))</f>
        <v/>
      </c>
      <c r="H24" s="31" t="str">
        <f aca="false">IF(Underwriting!$A24="","",IF(N(E24)&gt;0,N(E24)*(1-DownPct)+35,0))</f>
        <v/>
      </c>
      <c r="I24" s="31" t="str">
        <f aca="false">IF(Underwriting!$A24="","",IF(C24="Value-add hold",Underwriting!$AA24,Underwriting!$S24)+((N(E24))*(1+BuyerPremium)+IF(N(Deals!S24)=0,0,MIN(N(Deals!S24),MAX(0,N(Deals!S24)+SheriffCostsFromBid-(N(E24))*(1-RTTPurchase)))))-N(E24)*(1+BuyerPremium))</f>
        <v/>
      </c>
      <c r="J24" s="31" t="str">
        <f aca="false">IF(Underwriting!$A24="","",G24+H24+I24)</f>
        <v/>
      </c>
      <c r="K24" s="31" t="str">
        <f aca="false">IF(Underwriting!$A24="","",SUMIF($F$3:F24,"Y",$J$3:J24))</f>
        <v/>
      </c>
      <c r="L24" s="1" t="str">
        <f aca="false">IF(Underwriting!$A24="","",IF(C24="Value-add hold",TEXT(IFERROR(Underwriting!$Z24/(((N(E24))*(1+BuyerPremium)+IF(N(Deals!S24)=0,0,MIN(N(Deals!S24),MAX(0,N(Deals!S24)+SheriffCostsFromBid-(N(E24))*(1-RTTPurchase)))))+Underwriting!$AA24),0),"0.0%")&amp;" yield on cost",TEXT(Underwriting!$T24-((N(E24))*(1+BuyerPremium)+IF(N(Deals!S24)=0,0,MIN(N(Deals!S24),MAX(0,N(Deals!S24)+SheriffCostsFromBid-(N(E24))*(1-RTTPurchase))))),"$#,##0")&amp;" flip profit"))</f>
        <v/>
      </c>
    </row>
    <row r="25" customFormat="false" ht="15" hidden="false" customHeight="true" outlineLevel="0" collapsed="false">
      <c r="A25" s="1" t="str">
        <f aca="false">Underwriting!$A25</f>
        <v/>
      </c>
      <c r="B25" s="1" t="str">
        <f aca="false">Underwriting!$B25</f>
        <v/>
      </c>
      <c r="C25" s="1" t="str">
        <f aca="false">Underwriting!$C25</f>
        <v/>
      </c>
      <c r="D25" s="31" t="str">
        <f aca="false">Underwriting!$D25</f>
        <v/>
      </c>
      <c r="E25" s="14" t="str">
        <f aca="false">IF(Underwriting!$A25="","",Underwriting!$D25)</f>
        <v/>
      </c>
      <c r="F25" s="16" t="str">
        <f aca="false">IF(Underwriting!$A25="","",IF(Underwriting!$D25&gt;0,"Y","N"))</f>
        <v/>
      </c>
      <c r="G25" s="31" t="str">
        <f aca="false">IF(Underwriting!$A25="","",N(E25)*(DownPct+BuyerPremium))</f>
        <v/>
      </c>
      <c r="H25" s="31" t="str">
        <f aca="false">IF(Underwriting!$A25="","",IF(N(E25)&gt;0,N(E25)*(1-DownPct)+35,0))</f>
        <v/>
      </c>
      <c r="I25" s="31" t="str">
        <f aca="false">IF(Underwriting!$A25="","",IF(C25="Value-add hold",Underwriting!$AA25,Underwriting!$S25)+((N(E25))*(1+BuyerPremium)+IF(N(Deals!S25)=0,0,MIN(N(Deals!S25),MAX(0,N(Deals!S25)+SheriffCostsFromBid-(N(E25))*(1-RTTPurchase)))))-N(E25)*(1+BuyerPremium))</f>
        <v/>
      </c>
      <c r="J25" s="31" t="str">
        <f aca="false">IF(Underwriting!$A25="","",G25+H25+I25)</f>
        <v/>
      </c>
      <c r="K25" s="31" t="str">
        <f aca="false">IF(Underwriting!$A25="","",SUMIF($F$3:F25,"Y",$J$3:J25))</f>
        <v/>
      </c>
      <c r="L25" s="1" t="str">
        <f aca="false">IF(Underwriting!$A25="","",IF(C25="Value-add hold",TEXT(IFERROR(Underwriting!$Z25/(((N(E25))*(1+BuyerPremium)+IF(N(Deals!S25)=0,0,MIN(N(Deals!S25),MAX(0,N(Deals!S25)+SheriffCostsFromBid-(N(E25))*(1-RTTPurchase)))))+Underwriting!$AA25),0),"0.0%")&amp;" yield on cost",TEXT(Underwriting!$T25-((N(E25))*(1+BuyerPremium)+IF(N(Deals!S25)=0,0,MIN(N(Deals!S25),MAX(0,N(Deals!S25)+SheriffCostsFromBid-(N(E25))*(1-RTTPurchase))))),"$#,##0")&amp;" flip profit"))</f>
        <v/>
      </c>
    </row>
    <row r="26" customFormat="false" ht="15" hidden="false" customHeight="true" outlineLevel="0" collapsed="false">
      <c r="A26" s="1" t="str">
        <f aca="false">Underwriting!$A26</f>
        <v/>
      </c>
      <c r="B26" s="1" t="str">
        <f aca="false">Underwriting!$B26</f>
        <v/>
      </c>
      <c r="C26" s="1" t="str">
        <f aca="false">Underwriting!$C26</f>
        <v/>
      </c>
      <c r="D26" s="31" t="str">
        <f aca="false">Underwriting!$D26</f>
        <v/>
      </c>
      <c r="E26" s="14" t="str">
        <f aca="false">IF(Underwriting!$A26="","",Underwriting!$D26)</f>
        <v/>
      </c>
      <c r="F26" s="16" t="str">
        <f aca="false">IF(Underwriting!$A26="","",IF(Underwriting!$D26&gt;0,"Y","N"))</f>
        <v/>
      </c>
      <c r="G26" s="31" t="str">
        <f aca="false">IF(Underwriting!$A26="","",N(E26)*(DownPct+BuyerPremium))</f>
        <v/>
      </c>
      <c r="H26" s="31" t="str">
        <f aca="false">IF(Underwriting!$A26="","",IF(N(E26)&gt;0,N(E26)*(1-DownPct)+35,0))</f>
        <v/>
      </c>
      <c r="I26" s="31" t="str">
        <f aca="false">IF(Underwriting!$A26="","",IF(C26="Value-add hold",Underwriting!$AA26,Underwriting!$S26)+((N(E26))*(1+BuyerPremium)+IF(N(Deals!S26)=0,0,MIN(N(Deals!S26),MAX(0,N(Deals!S26)+SheriffCostsFromBid-(N(E26))*(1-RTTPurchase)))))-N(E26)*(1+BuyerPremium))</f>
        <v/>
      </c>
      <c r="J26" s="31" t="str">
        <f aca="false">IF(Underwriting!$A26="","",G26+H26+I26)</f>
        <v/>
      </c>
      <c r="K26" s="31" t="str">
        <f aca="false">IF(Underwriting!$A26="","",SUMIF($F$3:F26,"Y",$J$3:J26))</f>
        <v/>
      </c>
      <c r="L26" s="1" t="str">
        <f aca="false">IF(Underwriting!$A26="","",IF(C26="Value-add hold",TEXT(IFERROR(Underwriting!$Z26/(((N(E26))*(1+BuyerPremium)+IF(N(Deals!S26)=0,0,MIN(N(Deals!S26),MAX(0,N(Deals!S26)+SheriffCostsFromBid-(N(E26))*(1-RTTPurchase)))))+Underwriting!$AA26),0),"0.0%")&amp;" yield on cost",TEXT(Underwriting!$T26-((N(E26))*(1+BuyerPremium)+IF(N(Deals!S26)=0,0,MIN(N(Deals!S26),MAX(0,N(Deals!S26)+SheriffCostsFromBid-(N(E26))*(1-RTTPurchase))))),"$#,##0")&amp;" flip profit"))</f>
        <v/>
      </c>
    </row>
    <row r="27" customFormat="false" ht="15" hidden="false" customHeight="true" outlineLevel="0" collapsed="false">
      <c r="A27" s="1" t="str">
        <f aca="false">Underwriting!$A27</f>
        <v/>
      </c>
      <c r="B27" s="1" t="str">
        <f aca="false">Underwriting!$B27</f>
        <v/>
      </c>
      <c r="C27" s="1" t="str">
        <f aca="false">Underwriting!$C27</f>
        <v/>
      </c>
      <c r="D27" s="31" t="str">
        <f aca="false">Underwriting!$D27</f>
        <v/>
      </c>
      <c r="E27" s="14" t="str">
        <f aca="false">IF(Underwriting!$A27="","",Underwriting!$D27)</f>
        <v/>
      </c>
      <c r="F27" s="16" t="str">
        <f aca="false">IF(Underwriting!$A27="","",IF(Underwriting!$D27&gt;0,"Y","N"))</f>
        <v/>
      </c>
      <c r="G27" s="31" t="str">
        <f aca="false">IF(Underwriting!$A27="","",N(E27)*(DownPct+BuyerPremium))</f>
        <v/>
      </c>
      <c r="H27" s="31" t="str">
        <f aca="false">IF(Underwriting!$A27="","",IF(N(E27)&gt;0,N(E27)*(1-DownPct)+35,0))</f>
        <v/>
      </c>
      <c r="I27" s="31" t="str">
        <f aca="false">IF(Underwriting!$A27="","",IF(C27="Value-add hold",Underwriting!$AA27,Underwriting!$S27)+((N(E27))*(1+BuyerPremium)+IF(N(Deals!S27)=0,0,MIN(N(Deals!S27),MAX(0,N(Deals!S27)+SheriffCostsFromBid-(N(E27))*(1-RTTPurchase)))))-N(E27)*(1+BuyerPremium))</f>
        <v/>
      </c>
      <c r="J27" s="31" t="str">
        <f aca="false">IF(Underwriting!$A27="","",G27+H27+I27)</f>
        <v/>
      </c>
      <c r="K27" s="31" t="str">
        <f aca="false">IF(Underwriting!$A27="","",SUMIF($F$3:F27,"Y",$J$3:J27))</f>
        <v/>
      </c>
      <c r="L27" s="1" t="str">
        <f aca="false">IF(Underwriting!$A27="","",IF(C27="Value-add hold",TEXT(IFERROR(Underwriting!$Z27/(((N(E27))*(1+BuyerPremium)+IF(N(Deals!S27)=0,0,MIN(N(Deals!S27),MAX(0,N(Deals!S27)+SheriffCostsFromBid-(N(E27))*(1-RTTPurchase)))))+Underwriting!$AA27),0),"0.0%")&amp;" yield on cost",TEXT(Underwriting!$T27-((N(E27))*(1+BuyerPremium)+IF(N(Deals!S27)=0,0,MIN(N(Deals!S27),MAX(0,N(Deals!S27)+SheriffCostsFromBid-(N(E27))*(1-RTTPurchase))))),"$#,##0")&amp;" flip profit"))</f>
        <v/>
      </c>
    </row>
    <row r="28" customFormat="false" ht="15" hidden="false" customHeight="true" outlineLevel="0" collapsed="false">
      <c r="A28" s="1" t="str">
        <f aca="false">Underwriting!$A28</f>
        <v/>
      </c>
      <c r="B28" s="1" t="str">
        <f aca="false">Underwriting!$B28</f>
        <v/>
      </c>
      <c r="C28" s="1" t="str">
        <f aca="false">Underwriting!$C28</f>
        <v/>
      </c>
      <c r="D28" s="31" t="str">
        <f aca="false">Underwriting!$D28</f>
        <v/>
      </c>
      <c r="E28" s="14" t="str">
        <f aca="false">IF(Underwriting!$A28="","",Underwriting!$D28)</f>
        <v/>
      </c>
      <c r="F28" s="16" t="str">
        <f aca="false">IF(Underwriting!$A28="","",IF(Underwriting!$D28&gt;0,"Y","N"))</f>
        <v/>
      </c>
      <c r="G28" s="31" t="str">
        <f aca="false">IF(Underwriting!$A28="","",N(E28)*(DownPct+BuyerPremium))</f>
        <v/>
      </c>
      <c r="H28" s="31" t="str">
        <f aca="false">IF(Underwriting!$A28="","",IF(N(E28)&gt;0,N(E28)*(1-DownPct)+35,0))</f>
        <v/>
      </c>
      <c r="I28" s="31" t="str">
        <f aca="false">IF(Underwriting!$A28="","",IF(C28="Value-add hold",Underwriting!$AA28,Underwriting!$S28)+((N(E28))*(1+BuyerPremium)+IF(N(Deals!S28)=0,0,MIN(N(Deals!S28),MAX(0,N(Deals!S28)+SheriffCostsFromBid-(N(E28))*(1-RTTPurchase)))))-N(E28)*(1+BuyerPremium))</f>
        <v/>
      </c>
      <c r="J28" s="31" t="str">
        <f aca="false">IF(Underwriting!$A28="","",G28+H28+I28)</f>
        <v/>
      </c>
      <c r="K28" s="31" t="str">
        <f aca="false">IF(Underwriting!$A28="","",SUMIF($F$3:F28,"Y",$J$3:J28))</f>
        <v/>
      </c>
      <c r="L28" s="1" t="str">
        <f aca="false">IF(Underwriting!$A28="","",IF(C28="Value-add hold",TEXT(IFERROR(Underwriting!$Z28/(((N(E28))*(1+BuyerPremium)+IF(N(Deals!S28)=0,0,MIN(N(Deals!S28),MAX(0,N(Deals!S28)+SheriffCostsFromBid-(N(E28))*(1-RTTPurchase)))))+Underwriting!$AA28),0),"0.0%")&amp;" yield on cost",TEXT(Underwriting!$T28-((N(E28))*(1+BuyerPremium)+IF(N(Deals!S28)=0,0,MIN(N(Deals!S28),MAX(0,N(Deals!S28)+SheriffCostsFromBid-(N(E28))*(1-RTTPurchase))))),"$#,##0")&amp;" flip profit"))</f>
        <v/>
      </c>
    </row>
    <row r="29" customFormat="false" ht="15" hidden="false" customHeight="true" outlineLevel="0" collapsed="false">
      <c r="A29" s="1" t="str">
        <f aca="false">Underwriting!$A29</f>
        <v/>
      </c>
      <c r="B29" s="1" t="str">
        <f aca="false">Underwriting!$B29</f>
        <v/>
      </c>
      <c r="C29" s="1" t="str">
        <f aca="false">Underwriting!$C29</f>
        <v/>
      </c>
      <c r="D29" s="31" t="str">
        <f aca="false">Underwriting!$D29</f>
        <v/>
      </c>
      <c r="E29" s="14" t="str">
        <f aca="false">IF(Underwriting!$A29="","",Underwriting!$D29)</f>
        <v/>
      </c>
      <c r="F29" s="16" t="str">
        <f aca="false">IF(Underwriting!$A29="","",IF(Underwriting!$D29&gt;0,"Y","N"))</f>
        <v/>
      </c>
      <c r="G29" s="31" t="str">
        <f aca="false">IF(Underwriting!$A29="","",N(E29)*(DownPct+BuyerPremium))</f>
        <v/>
      </c>
      <c r="H29" s="31" t="str">
        <f aca="false">IF(Underwriting!$A29="","",IF(N(E29)&gt;0,N(E29)*(1-DownPct)+35,0))</f>
        <v/>
      </c>
      <c r="I29" s="31" t="str">
        <f aca="false">IF(Underwriting!$A29="","",IF(C29="Value-add hold",Underwriting!$AA29,Underwriting!$S29)+((N(E29))*(1+BuyerPremium)+IF(N(Deals!S29)=0,0,MIN(N(Deals!S29),MAX(0,N(Deals!S29)+SheriffCostsFromBid-(N(E29))*(1-RTTPurchase)))))-N(E29)*(1+BuyerPremium))</f>
        <v/>
      </c>
      <c r="J29" s="31" t="str">
        <f aca="false">IF(Underwriting!$A29="","",G29+H29+I29)</f>
        <v/>
      </c>
      <c r="K29" s="31" t="str">
        <f aca="false">IF(Underwriting!$A29="","",SUMIF($F$3:F29,"Y",$J$3:J29))</f>
        <v/>
      </c>
      <c r="L29" s="1" t="str">
        <f aca="false">IF(Underwriting!$A29="","",IF(C29="Value-add hold",TEXT(IFERROR(Underwriting!$Z29/(((N(E29))*(1+BuyerPremium)+IF(N(Deals!S29)=0,0,MIN(N(Deals!S29),MAX(0,N(Deals!S29)+SheriffCostsFromBid-(N(E29))*(1-RTTPurchase)))))+Underwriting!$AA29),0),"0.0%")&amp;" yield on cost",TEXT(Underwriting!$T29-((N(E29))*(1+BuyerPremium)+IF(N(Deals!S29)=0,0,MIN(N(Deals!S29),MAX(0,N(Deals!S29)+SheriffCostsFromBid-(N(E29))*(1-RTTPurchase))))),"$#,##0")&amp;" flip profit"))</f>
        <v/>
      </c>
    </row>
    <row r="30" customFormat="false" ht="15" hidden="false" customHeight="true" outlineLevel="0" collapsed="false">
      <c r="A30" s="1" t="str">
        <f aca="false">Underwriting!$A30</f>
        <v/>
      </c>
      <c r="B30" s="1" t="str">
        <f aca="false">Underwriting!$B30</f>
        <v/>
      </c>
      <c r="C30" s="1" t="str">
        <f aca="false">Underwriting!$C30</f>
        <v/>
      </c>
      <c r="D30" s="31" t="str">
        <f aca="false">Underwriting!$D30</f>
        <v/>
      </c>
      <c r="E30" s="14" t="str">
        <f aca="false">IF(Underwriting!$A30="","",Underwriting!$D30)</f>
        <v/>
      </c>
      <c r="F30" s="16" t="str">
        <f aca="false">IF(Underwriting!$A30="","",IF(Underwriting!$D30&gt;0,"Y","N"))</f>
        <v/>
      </c>
      <c r="G30" s="31" t="str">
        <f aca="false">IF(Underwriting!$A30="","",N(E30)*(DownPct+BuyerPremium))</f>
        <v/>
      </c>
      <c r="H30" s="31" t="str">
        <f aca="false">IF(Underwriting!$A30="","",IF(N(E30)&gt;0,N(E30)*(1-DownPct)+35,0))</f>
        <v/>
      </c>
      <c r="I30" s="31" t="str">
        <f aca="false">IF(Underwriting!$A30="","",IF(C30="Value-add hold",Underwriting!$AA30,Underwriting!$S30)+((N(E30))*(1+BuyerPremium)+IF(N(Deals!S30)=0,0,MIN(N(Deals!S30),MAX(0,N(Deals!S30)+SheriffCostsFromBid-(N(E30))*(1-RTTPurchase)))))-N(E30)*(1+BuyerPremium))</f>
        <v/>
      </c>
      <c r="J30" s="31" t="str">
        <f aca="false">IF(Underwriting!$A30="","",G30+H30+I30)</f>
        <v/>
      </c>
      <c r="K30" s="31" t="str">
        <f aca="false">IF(Underwriting!$A30="","",SUMIF($F$3:F30,"Y",$J$3:J30))</f>
        <v/>
      </c>
      <c r="L30" s="1" t="str">
        <f aca="false">IF(Underwriting!$A30="","",IF(C30="Value-add hold",TEXT(IFERROR(Underwriting!$Z30/(((N(E30))*(1+BuyerPremium)+IF(N(Deals!S30)=0,0,MIN(N(Deals!S30),MAX(0,N(Deals!S30)+SheriffCostsFromBid-(N(E30))*(1-RTTPurchase)))))+Underwriting!$AA30),0),"0.0%")&amp;" yield on cost",TEXT(Underwriting!$T30-((N(E30))*(1+BuyerPremium)+IF(N(Deals!S30)=0,0,MIN(N(Deals!S30),MAX(0,N(Deals!S30)+SheriffCostsFromBid-(N(E30))*(1-RTTPurchase))))),"$#,##0")&amp;" flip profit"))</f>
        <v/>
      </c>
    </row>
    <row r="31" customFormat="false" ht="15" hidden="false" customHeight="true" outlineLevel="0" collapsed="false">
      <c r="A31" s="1" t="str">
        <f aca="false">Underwriting!$A31</f>
        <v/>
      </c>
      <c r="B31" s="1" t="str">
        <f aca="false">Underwriting!$B31</f>
        <v/>
      </c>
      <c r="C31" s="1" t="str">
        <f aca="false">Underwriting!$C31</f>
        <v/>
      </c>
      <c r="D31" s="31" t="str">
        <f aca="false">Underwriting!$D31</f>
        <v/>
      </c>
      <c r="E31" s="14" t="str">
        <f aca="false">IF(Underwriting!$A31="","",Underwriting!$D31)</f>
        <v/>
      </c>
      <c r="F31" s="16" t="str">
        <f aca="false">IF(Underwriting!$A31="","",IF(Underwriting!$D31&gt;0,"Y","N"))</f>
        <v/>
      </c>
      <c r="G31" s="31" t="str">
        <f aca="false">IF(Underwriting!$A31="","",N(E31)*(DownPct+BuyerPremium))</f>
        <v/>
      </c>
      <c r="H31" s="31" t="str">
        <f aca="false">IF(Underwriting!$A31="","",IF(N(E31)&gt;0,N(E31)*(1-DownPct)+35,0))</f>
        <v/>
      </c>
      <c r="I31" s="31" t="str">
        <f aca="false">IF(Underwriting!$A31="","",IF(C31="Value-add hold",Underwriting!$AA31,Underwriting!$S31)+((N(E31))*(1+BuyerPremium)+IF(N(Deals!S31)=0,0,MIN(N(Deals!S31),MAX(0,N(Deals!S31)+SheriffCostsFromBid-(N(E31))*(1-RTTPurchase)))))-N(E31)*(1+BuyerPremium))</f>
        <v/>
      </c>
      <c r="J31" s="31" t="str">
        <f aca="false">IF(Underwriting!$A31="","",G31+H31+I31)</f>
        <v/>
      </c>
      <c r="K31" s="31" t="str">
        <f aca="false">IF(Underwriting!$A31="","",SUMIF($F$3:F31,"Y",$J$3:J31))</f>
        <v/>
      </c>
      <c r="L31" s="1" t="str">
        <f aca="false">IF(Underwriting!$A31="","",IF(C31="Value-add hold",TEXT(IFERROR(Underwriting!$Z31/(((N(E31))*(1+BuyerPremium)+IF(N(Deals!S31)=0,0,MIN(N(Deals!S31),MAX(0,N(Deals!S31)+SheriffCostsFromBid-(N(E31))*(1-RTTPurchase)))))+Underwriting!$AA31),0),"0.0%")&amp;" yield on cost",TEXT(Underwriting!$T31-((N(E31))*(1+BuyerPremium)+IF(N(Deals!S31)=0,0,MIN(N(Deals!S31),MAX(0,N(Deals!S31)+SheriffCostsFromBid-(N(E31))*(1-RTTPurchase))))),"$#,##0")&amp;" flip profit"))</f>
        <v/>
      </c>
    </row>
    <row r="32" customFormat="false" ht="15" hidden="false" customHeight="true" outlineLevel="0" collapsed="false">
      <c r="A32" s="1" t="str">
        <f aca="false">Underwriting!$A32</f>
        <v/>
      </c>
      <c r="B32" s="1" t="str">
        <f aca="false">Underwriting!$B32</f>
        <v/>
      </c>
      <c r="C32" s="1" t="str">
        <f aca="false">Underwriting!$C32</f>
        <v/>
      </c>
      <c r="D32" s="31" t="str">
        <f aca="false">Underwriting!$D32</f>
        <v/>
      </c>
      <c r="E32" s="14" t="str">
        <f aca="false">IF(Underwriting!$A32="","",Underwriting!$D32)</f>
        <v/>
      </c>
      <c r="F32" s="16" t="str">
        <f aca="false">IF(Underwriting!$A32="","",IF(Underwriting!$D32&gt;0,"Y","N"))</f>
        <v/>
      </c>
      <c r="G32" s="31" t="str">
        <f aca="false">IF(Underwriting!$A32="","",N(E32)*(DownPct+BuyerPremium))</f>
        <v/>
      </c>
      <c r="H32" s="31" t="str">
        <f aca="false">IF(Underwriting!$A32="","",IF(N(E32)&gt;0,N(E32)*(1-DownPct)+35,0))</f>
        <v/>
      </c>
      <c r="I32" s="31" t="str">
        <f aca="false">IF(Underwriting!$A32="","",IF(C32="Value-add hold",Underwriting!$AA32,Underwriting!$S32)+((N(E32))*(1+BuyerPremium)+IF(N(Deals!S32)=0,0,MIN(N(Deals!S32),MAX(0,N(Deals!S32)+SheriffCostsFromBid-(N(E32))*(1-RTTPurchase)))))-N(E32)*(1+BuyerPremium))</f>
        <v/>
      </c>
      <c r="J32" s="31" t="str">
        <f aca="false">IF(Underwriting!$A32="","",G32+H32+I32)</f>
        <v/>
      </c>
      <c r="K32" s="31" t="str">
        <f aca="false">IF(Underwriting!$A32="","",SUMIF($F$3:F32,"Y",$J$3:J32))</f>
        <v/>
      </c>
      <c r="L32" s="1" t="str">
        <f aca="false">IF(Underwriting!$A32="","",IF(C32="Value-add hold",TEXT(IFERROR(Underwriting!$Z32/(((N(E32))*(1+BuyerPremium)+IF(N(Deals!S32)=0,0,MIN(N(Deals!S32),MAX(0,N(Deals!S32)+SheriffCostsFromBid-(N(E32))*(1-RTTPurchase)))))+Underwriting!$AA32),0),"0.0%")&amp;" yield on cost",TEXT(Underwriting!$T32-((N(E32))*(1+BuyerPremium)+IF(N(Deals!S32)=0,0,MIN(N(Deals!S32),MAX(0,N(Deals!S32)+SheriffCostsFromBid-(N(E32))*(1-RTTPurchase))))),"$#,##0")&amp;" flip profit"))</f>
        <v/>
      </c>
    </row>
    <row r="33" customFormat="false" ht="15" hidden="false" customHeight="true" outlineLevel="0" collapsed="false">
      <c r="A33" s="1" t="str">
        <f aca="false">Underwriting!$A33</f>
        <v/>
      </c>
      <c r="B33" s="1" t="str">
        <f aca="false">Underwriting!$B33</f>
        <v/>
      </c>
      <c r="C33" s="1" t="str">
        <f aca="false">Underwriting!$C33</f>
        <v/>
      </c>
      <c r="D33" s="31" t="str">
        <f aca="false">Underwriting!$D33</f>
        <v/>
      </c>
      <c r="E33" s="14" t="str">
        <f aca="false">IF(Underwriting!$A33="","",Underwriting!$D33)</f>
        <v/>
      </c>
      <c r="F33" s="16" t="str">
        <f aca="false">IF(Underwriting!$A33="","",IF(Underwriting!$D33&gt;0,"Y","N"))</f>
        <v/>
      </c>
      <c r="G33" s="31" t="str">
        <f aca="false">IF(Underwriting!$A33="","",N(E33)*(DownPct+BuyerPremium))</f>
        <v/>
      </c>
      <c r="H33" s="31" t="str">
        <f aca="false">IF(Underwriting!$A33="","",IF(N(E33)&gt;0,N(E33)*(1-DownPct)+35,0))</f>
        <v/>
      </c>
      <c r="I33" s="31" t="str">
        <f aca="false">IF(Underwriting!$A33="","",IF(C33="Value-add hold",Underwriting!$AA33,Underwriting!$S33)+((N(E33))*(1+BuyerPremium)+IF(N(Deals!S33)=0,0,MIN(N(Deals!S33),MAX(0,N(Deals!S33)+SheriffCostsFromBid-(N(E33))*(1-RTTPurchase)))))-N(E33)*(1+BuyerPremium))</f>
        <v/>
      </c>
      <c r="J33" s="31" t="str">
        <f aca="false">IF(Underwriting!$A33="","",G33+H33+I33)</f>
        <v/>
      </c>
      <c r="K33" s="31" t="str">
        <f aca="false">IF(Underwriting!$A33="","",SUMIF($F$3:F33,"Y",$J$3:J33))</f>
        <v/>
      </c>
      <c r="L33" s="1" t="str">
        <f aca="false">IF(Underwriting!$A33="","",IF(C33="Value-add hold",TEXT(IFERROR(Underwriting!$Z33/(((N(E33))*(1+BuyerPremium)+IF(N(Deals!S33)=0,0,MIN(N(Deals!S33),MAX(0,N(Deals!S33)+SheriffCostsFromBid-(N(E33))*(1-RTTPurchase)))))+Underwriting!$AA33),0),"0.0%")&amp;" yield on cost",TEXT(Underwriting!$T33-((N(E33))*(1+BuyerPremium)+IF(N(Deals!S33)=0,0,MIN(N(Deals!S33),MAX(0,N(Deals!S33)+SheriffCostsFromBid-(N(E33))*(1-RTTPurchase))))),"$#,##0")&amp;" flip profit"))</f>
        <v/>
      </c>
    </row>
    <row r="34" customFormat="false" ht="15" hidden="false" customHeight="true" outlineLevel="0" collapsed="false">
      <c r="A34" s="1" t="str">
        <f aca="false">Underwriting!$A34</f>
        <v/>
      </c>
      <c r="B34" s="1" t="str">
        <f aca="false">Underwriting!$B34</f>
        <v/>
      </c>
      <c r="C34" s="1" t="str">
        <f aca="false">Underwriting!$C34</f>
        <v/>
      </c>
      <c r="D34" s="31" t="str">
        <f aca="false">Underwriting!$D34</f>
        <v/>
      </c>
      <c r="E34" s="14" t="str">
        <f aca="false">IF(Underwriting!$A34="","",Underwriting!$D34)</f>
        <v/>
      </c>
      <c r="F34" s="16" t="str">
        <f aca="false">IF(Underwriting!$A34="","",IF(Underwriting!$D34&gt;0,"Y","N"))</f>
        <v/>
      </c>
      <c r="G34" s="31" t="str">
        <f aca="false">IF(Underwriting!$A34="","",N(E34)*(DownPct+BuyerPremium))</f>
        <v/>
      </c>
      <c r="H34" s="31" t="str">
        <f aca="false">IF(Underwriting!$A34="","",IF(N(E34)&gt;0,N(E34)*(1-DownPct)+35,0))</f>
        <v/>
      </c>
      <c r="I34" s="31" t="str">
        <f aca="false">IF(Underwriting!$A34="","",IF(C34="Value-add hold",Underwriting!$AA34,Underwriting!$S34)+((N(E34))*(1+BuyerPremium)+IF(N(Deals!S34)=0,0,MIN(N(Deals!S34),MAX(0,N(Deals!S34)+SheriffCostsFromBid-(N(E34))*(1-RTTPurchase)))))-N(E34)*(1+BuyerPremium))</f>
        <v/>
      </c>
      <c r="J34" s="31" t="str">
        <f aca="false">IF(Underwriting!$A34="","",G34+H34+I34)</f>
        <v/>
      </c>
      <c r="K34" s="31" t="str">
        <f aca="false">IF(Underwriting!$A34="","",SUMIF($F$3:F34,"Y",$J$3:J34))</f>
        <v/>
      </c>
      <c r="L34" s="1" t="str">
        <f aca="false">IF(Underwriting!$A34="","",IF(C34="Value-add hold",TEXT(IFERROR(Underwriting!$Z34/(((N(E34))*(1+BuyerPremium)+IF(N(Deals!S34)=0,0,MIN(N(Deals!S34),MAX(0,N(Deals!S34)+SheriffCostsFromBid-(N(E34))*(1-RTTPurchase)))))+Underwriting!$AA34),0),"0.0%")&amp;" yield on cost",TEXT(Underwriting!$T34-((N(E34))*(1+BuyerPremium)+IF(N(Deals!S34)=0,0,MIN(N(Deals!S34),MAX(0,N(Deals!S34)+SheriffCostsFromBid-(N(E34))*(1-RTTPurchase))))),"$#,##0")&amp;" flip profit"))</f>
        <v/>
      </c>
    </row>
    <row r="35" customFormat="false" ht="15" hidden="false" customHeight="true" outlineLevel="0" collapsed="false">
      <c r="A35" s="1" t="str">
        <f aca="false">Underwriting!$A35</f>
        <v/>
      </c>
      <c r="B35" s="1" t="str">
        <f aca="false">Underwriting!$B35</f>
        <v/>
      </c>
      <c r="C35" s="1" t="str">
        <f aca="false">Underwriting!$C35</f>
        <v/>
      </c>
      <c r="D35" s="31" t="str">
        <f aca="false">Underwriting!$D35</f>
        <v/>
      </c>
      <c r="E35" s="14" t="str">
        <f aca="false">IF(Underwriting!$A35="","",Underwriting!$D35)</f>
        <v/>
      </c>
      <c r="F35" s="16" t="str">
        <f aca="false">IF(Underwriting!$A35="","",IF(Underwriting!$D35&gt;0,"Y","N"))</f>
        <v/>
      </c>
      <c r="G35" s="31" t="str">
        <f aca="false">IF(Underwriting!$A35="","",N(E35)*(DownPct+BuyerPremium))</f>
        <v/>
      </c>
      <c r="H35" s="31" t="str">
        <f aca="false">IF(Underwriting!$A35="","",IF(N(E35)&gt;0,N(E35)*(1-DownPct)+35,0))</f>
        <v/>
      </c>
      <c r="I35" s="31" t="str">
        <f aca="false">IF(Underwriting!$A35="","",IF(C35="Value-add hold",Underwriting!$AA35,Underwriting!$S35)+((N(E35))*(1+BuyerPremium)+IF(N(Deals!S35)=0,0,MIN(N(Deals!S35),MAX(0,N(Deals!S35)+SheriffCostsFromBid-(N(E35))*(1-RTTPurchase)))))-N(E35)*(1+BuyerPremium))</f>
        <v/>
      </c>
      <c r="J35" s="31" t="str">
        <f aca="false">IF(Underwriting!$A35="","",G35+H35+I35)</f>
        <v/>
      </c>
      <c r="K35" s="31" t="str">
        <f aca="false">IF(Underwriting!$A35="","",SUMIF($F$3:F35,"Y",$J$3:J35))</f>
        <v/>
      </c>
      <c r="L35" s="1" t="str">
        <f aca="false">IF(Underwriting!$A35="","",IF(C35="Value-add hold",TEXT(IFERROR(Underwriting!$Z35/(((N(E35))*(1+BuyerPremium)+IF(N(Deals!S35)=0,0,MIN(N(Deals!S35),MAX(0,N(Deals!S35)+SheriffCostsFromBid-(N(E35))*(1-RTTPurchase)))))+Underwriting!$AA35),0),"0.0%")&amp;" yield on cost",TEXT(Underwriting!$T35-((N(E35))*(1+BuyerPremium)+IF(N(Deals!S35)=0,0,MIN(N(Deals!S35),MAX(0,N(Deals!S35)+SheriffCostsFromBid-(N(E35))*(1-RTTPurchase))))),"$#,##0")&amp;" flip profit"))</f>
        <v/>
      </c>
    </row>
    <row r="36" customFormat="false" ht="15" hidden="false" customHeight="true" outlineLevel="0" collapsed="false">
      <c r="A36" s="1" t="str">
        <f aca="false">Underwriting!$A36</f>
        <v/>
      </c>
      <c r="B36" s="1" t="str">
        <f aca="false">Underwriting!$B36</f>
        <v/>
      </c>
      <c r="C36" s="1" t="str">
        <f aca="false">Underwriting!$C36</f>
        <v/>
      </c>
      <c r="D36" s="31" t="str">
        <f aca="false">Underwriting!$D36</f>
        <v/>
      </c>
      <c r="E36" s="14" t="str">
        <f aca="false">IF(Underwriting!$A36="","",Underwriting!$D36)</f>
        <v/>
      </c>
      <c r="F36" s="16" t="str">
        <f aca="false">IF(Underwriting!$A36="","",IF(Underwriting!$D36&gt;0,"Y","N"))</f>
        <v/>
      </c>
      <c r="G36" s="31" t="str">
        <f aca="false">IF(Underwriting!$A36="","",N(E36)*(DownPct+BuyerPremium))</f>
        <v/>
      </c>
      <c r="H36" s="31" t="str">
        <f aca="false">IF(Underwriting!$A36="","",IF(N(E36)&gt;0,N(E36)*(1-DownPct)+35,0))</f>
        <v/>
      </c>
      <c r="I36" s="31" t="str">
        <f aca="false">IF(Underwriting!$A36="","",IF(C36="Value-add hold",Underwriting!$AA36,Underwriting!$S36)+((N(E36))*(1+BuyerPremium)+IF(N(Deals!S36)=0,0,MIN(N(Deals!S36),MAX(0,N(Deals!S36)+SheriffCostsFromBid-(N(E36))*(1-RTTPurchase)))))-N(E36)*(1+BuyerPremium))</f>
        <v/>
      </c>
      <c r="J36" s="31" t="str">
        <f aca="false">IF(Underwriting!$A36="","",G36+H36+I36)</f>
        <v/>
      </c>
      <c r="K36" s="31" t="str">
        <f aca="false">IF(Underwriting!$A36="","",SUMIF($F$3:F36,"Y",$J$3:J36))</f>
        <v/>
      </c>
      <c r="L36" s="1" t="str">
        <f aca="false">IF(Underwriting!$A36="","",IF(C36="Value-add hold",TEXT(IFERROR(Underwriting!$Z36/(((N(E36))*(1+BuyerPremium)+IF(N(Deals!S36)=0,0,MIN(N(Deals!S36),MAX(0,N(Deals!S36)+SheriffCostsFromBid-(N(E36))*(1-RTTPurchase)))))+Underwriting!$AA36),0),"0.0%")&amp;" yield on cost",TEXT(Underwriting!$T36-((N(E36))*(1+BuyerPremium)+IF(N(Deals!S36)=0,0,MIN(N(Deals!S36),MAX(0,N(Deals!S36)+SheriffCostsFromBid-(N(E36))*(1-RTTPurchase))))),"$#,##0")&amp;" flip profit"))</f>
        <v/>
      </c>
    </row>
    <row r="37" customFormat="false" ht="15" hidden="false" customHeight="true" outlineLevel="0" collapsed="false">
      <c r="A37" s="1" t="str">
        <f aca="false">Underwriting!$A37</f>
        <v/>
      </c>
      <c r="B37" s="1" t="str">
        <f aca="false">Underwriting!$B37</f>
        <v/>
      </c>
      <c r="C37" s="1" t="str">
        <f aca="false">Underwriting!$C37</f>
        <v/>
      </c>
      <c r="D37" s="31" t="str">
        <f aca="false">Underwriting!$D37</f>
        <v/>
      </c>
      <c r="E37" s="14" t="str">
        <f aca="false">IF(Underwriting!$A37="","",Underwriting!$D37)</f>
        <v/>
      </c>
      <c r="F37" s="16" t="str">
        <f aca="false">IF(Underwriting!$A37="","",IF(Underwriting!$D37&gt;0,"Y","N"))</f>
        <v/>
      </c>
      <c r="G37" s="31" t="str">
        <f aca="false">IF(Underwriting!$A37="","",N(E37)*(DownPct+BuyerPremium))</f>
        <v/>
      </c>
      <c r="H37" s="31" t="str">
        <f aca="false">IF(Underwriting!$A37="","",IF(N(E37)&gt;0,N(E37)*(1-DownPct)+35,0))</f>
        <v/>
      </c>
      <c r="I37" s="31" t="str">
        <f aca="false">IF(Underwriting!$A37="","",IF(C37="Value-add hold",Underwriting!$AA37,Underwriting!$S37)+((N(E37))*(1+BuyerPremium)+IF(N(Deals!S37)=0,0,MIN(N(Deals!S37),MAX(0,N(Deals!S37)+SheriffCostsFromBid-(N(E37))*(1-RTTPurchase)))))-N(E37)*(1+BuyerPremium))</f>
        <v/>
      </c>
      <c r="J37" s="31" t="str">
        <f aca="false">IF(Underwriting!$A37="","",G37+H37+I37)</f>
        <v/>
      </c>
      <c r="K37" s="31" t="str">
        <f aca="false">IF(Underwriting!$A37="","",SUMIF($F$3:F37,"Y",$J$3:J37))</f>
        <v/>
      </c>
      <c r="L37" s="1" t="str">
        <f aca="false">IF(Underwriting!$A37="","",IF(C37="Value-add hold",TEXT(IFERROR(Underwriting!$Z37/(((N(E37))*(1+BuyerPremium)+IF(N(Deals!S37)=0,0,MIN(N(Deals!S37),MAX(0,N(Deals!S37)+SheriffCostsFromBid-(N(E37))*(1-RTTPurchase)))))+Underwriting!$AA37),0),"0.0%")&amp;" yield on cost",TEXT(Underwriting!$T37-((N(E37))*(1+BuyerPremium)+IF(N(Deals!S37)=0,0,MIN(N(Deals!S37),MAX(0,N(Deals!S37)+SheriffCostsFromBid-(N(E37))*(1-RTTPurchase))))),"$#,##0")&amp;" flip profit"))</f>
        <v/>
      </c>
    </row>
    <row r="38" customFormat="false" ht="15" hidden="false" customHeight="true" outlineLevel="0" collapsed="false">
      <c r="A38" s="1" t="str">
        <f aca="false">Underwriting!$A38</f>
        <v/>
      </c>
      <c r="B38" s="1" t="str">
        <f aca="false">Underwriting!$B38</f>
        <v/>
      </c>
      <c r="C38" s="1" t="str">
        <f aca="false">Underwriting!$C38</f>
        <v/>
      </c>
      <c r="D38" s="31" t="str">
        <f aca="false">Underwriting!$D38</f>
        <v/>
      </c>
      <c r="E38" s="14" t="str">
        <f aca="false">IF(Underwriting!$A38="","",Underwriting!$D38)</f>
        <v/>
      </c>
      <c r="F38" s="16" t="str">
        <f aca="false">IF(Underwriting!$A38="","",IF(Underwriting!$D38&gt;0,"Y","N"))</f>
        <v/>
      </c>
      <c r="G38" s="31" t="str">
        <f aca="false">IF(Underwriting!$A38="","",N(E38)*(DownPct+BuyerPremium))</f>
        <v/>
      </c>
      <c r="H38" s="31" t="str">
        <f aca="false">IF(Underwriting!$A38="","",IF(N(E38)&gt;0,N(E38)*(1-DownPct)+35,0))</f>
        <v/>
      </c>
      <c r="I38" s="31" t="str">
        <f aca="false">IF(Underwriting!$A38="","",IF(C38="Value-add hold",Underwriting!$AA38,Underwriting!$S38)+((N(E38))*(1+BuyerPremium)+IF(N(Deals!S38)=0,0,MIN(N(Deals!S38),MAX(0,N(Deals!S38)+SheriffCostsFromBid-(N(E38))*(1-RTTPurchase)))))-N(E38)*(1+BuyerPremium))</f>
        <v/>
      </c>
      <c r="J38" s="31" t="str">
        <f aca="false">IF(Underwriting!$A38="","",G38+H38+I38)</f>
        <v/>
      </c>
      <c r="K38" s="31" t="str">
        <f aca="false">IF(Underwriting!$A38="","",SUMIF($F$3:F38,"Y",$J$3:J38))</f>
        <v/>
      </c>
      <c r="L38" s="1" t="str">
        <f aca="false">IF(Underwriting!$A38="","",IF(C38="Value-add hold",TEXT(IFERROR(Underwriting!$Z38/(((N(E38))*(1+BuyerPremium)+IF(N(Deals!S38)=0,0,MIN(N(Deals!S38),MAX(0,N(Deals!S38)+SheriffCostsFromBid-(N(E38))*(1-RTTPurchase)))))+Underwriting!$AA38),0),"0.0%")&amp;" yield on cost",TEXT(Underwriting!$T38-((N(E38))*(1+BuyerPremium)+IF(N(Deals!S38)=0,0,MIN(N(Deals!S38),MAX(0,N(Deals!S38)+SheriffCostsFromBid-(N(E38))*(1-RTTPurchase))))),"$#,##0")&amp;" flip profit"))</f>
        <v/>
      </c>
    </row>
    <row r="39" customFormat="false" ht="15" hidden="false" customHeight="true" outlineLevel="0" collapsed="false">
      <c r="A39" s="1" t="str">
        <f aca="false">Underwriting!$A39</f>
        <v/>
      </c>
      <c r="B39" s="1" t="str">
        <f aca="false">Underwriting!$B39</f>
        <v/>
      </c>
      <c r="C39" s="1" t="str">
        <f aca="false">Underwriting!$C39</f>
        <v/>
      </c>
      <c r="D39" s="31" t="str">
        <f aca="false">Underwriting!$D39</f>
        <v/>
      </c>
      <c r="E39" s="14" t="str">
        <f aca="false">IF(Underwriting!$A39="","",Underwriting!$D39)</f>
        <v/>
      </c>
      <c r="F39" s="16" t="str">
        <f aca="false">IF(Underwriting!$A39="","",IF(Underwriting!$D39&gt;0,"Y","N"))</f>
        <v/>
      </c>
      <c r="G39" s="31" t="str">
        <f aca="false">IF(Underwriting!$A39="","",N(E39)*(DownPct+BuyerPremium))</f>
        <v/>
      </c>
      <c r="H39" s="31" t="str">
        <f aca="false">IF(Underwriting!$A39="","",IF(N(E39)&gt;0,N(E39)*(1-DownPct)+35,0))</f>
        <v/>
      </c>
      <c r="I39" s="31" t="str">
        <f aca="false">IF(Underwriting!$A39="","",IF(C39="Value-add hold",Underwriting!$AA39,Underwriting!$S39)+((N(E39))*(1+BuyerPremium)+IF(N(Deals!S39)=0,0,MIN(N(Deals!S39),MAX(0,N(Deals!S39)+SheriffCostsFromBid-(N(E39))*(1-RTTPurchase)))))-N(E39)*(1+BuyerPremium))</f>
        <v/>
      </c>
      <c r="J39" s="31" t="str">
        <f aca="false">IF(Underwriting!$A39="","",G39+H39+I39)</f>
        <v/>
      </c>
      <c r="K39" s="31" t="str">
        <f aca="false">IF(Underwriting!$A39="","",SUMIF($F$3:F39,"Y",$J$3:J39))</f>
        <v/>
      </c>
      <c r="L39" s="1" t="str">
        <f aca="false">IF(Underwriting!$A39="","",IF(C39="Value-add hold",TEXT(IFERROR(Underwriting!$Z39/(((N(E39))*(1+BuyerPremium)+IF(N(Deals!S39)=0,0,MIN(N(Deals!S39),MAX(0,N(Deals!S39)+SheriffCostsFromBid-(N(E39))*(1-RTTPurchase)))))+Underwriting!$AA39),0),"0.0%")&amp;" yield on cost",TEXT(Underwriting!$T39-((N(E39))*(1+BuyerPremium)+IF(N(Deals!S39)=0,0,MIN(N(Deals!S39),MAX(0,N(Deals!S39)+SheriffCostsFromBid-(N(E39))*(1-RTTPurchase))))),"$#,##0")&amp;" flip profit"))</f>
        <v/>
      </c>
    </row>
    <row r="40" customFormat="false" ht="15" hidden="false" customHeight="true" outlineLevel="0" collapsed="false">
      <c r="A40" s="1" t="str">
        <f aca="false">Underwriting!$A40</f>
        <v/>
      </c>
      <c r="B40" s="1" t="str">
        <f aca="false">Underwriting!$B40</f>
        <v/>
      </c>
      <c r="C40" s="1" t="str">
        <f aca="false">Underwriting!$C40</f>
        <v/>
      </c>
      <c r="D40" s="31" t="str">
        <f aca="false">Underwriting!$D40</f>
        <v/>
      </c>
      <c r="E40" s="14" t="str">
        <f aca="false">IF(Underwriting!$A40="","",Underwriting!$D40)</f>
        <v/>
      </c>
      <c r="F40" s="16" t="str">
        <f aca="false">IF(Underwriting!$A40="","",IF(Underwriting!$D40&gt;0,"Y","N"))</f>
        <v/>
      </c>
      <c r="G40" s="31" t="str">
        <f aca="false">IF(Underwriting!$A40="","",N(E40)*(DownPct+BuyerPremium))</f>
        <v/>
      </c>
      <c r="H40" s="31" t="str">
        <f aca="false">IF(Underwriting!$A40="","",IF(N(E40)&gt;0,N(E40)*(1-DownPct)+35,0))</f>
        <v/>
      </c>
      <c r="I40" s="31" t="str">
        <f aca="false">IF(Underwriting!$A40="","",IF(C40="Value-add hold",Underwriting!$AA40,Underwriting!$S40)+((N(E40))*(1+BuyerPremium)+IF(N(Deals!S40)=0,0,MIN(N(Deals!S40),MAX(0,N(Deals!S40)+SheriffCostsFromBid-(N(E40))*(1-RTTPurchase)))))-N(E40)*(1+BuyerPremium))</f>
        <v/>
      </c>
      <c r="J40" s="31" t="str">
        <f aca="false">IF(Underwriting!$A40="","",G40+H40+I40)</f>
        <v/>
      </c>
      <c r="K40" s="31" t="str">
        <f aca="false">IF(Underwriting!$A40="","",SUMIF($F$3:F40,"Y",$J$3:J40))</f>
        <v/>
      </c>
      <c r="L40" s="1" t="str">
        <f aca="false">IF(Underwriting!$A40="","",IF(C40="Value-add hold",TEXT(IFERROR(Underwriting!$Z40/(((N(E40))*(1+BuyerPremium)+IF(N(Deals!S40)=0,0,MIN(N(Deals!S40),MAX(0,N(Deals!S40)+SheriffCostsFromBid-(N(E40))*(1-RTTPurchase)))))+Underwriting!$AA40),0),"0.0%")&amp;" yield on cost",TEXT(Underwriting!$T40-((N(E40))*(1+BuyerPremium)+IF(N(Deals!S40)=0,0,MIN(N(Deals!S40),MAX(0,N(Deals!S40)+SheriffCostsFromBid-(N(E40))*(1-RTTPurchase))))),"$#,##0")&amp;" flip profit"))</f>
        <v/>
      </c>
    </row>
    <row r="41" customFormat="false" ht="15" hidden="false" customHeight="true" outlineLevel="0" collapsed="false">
      <c r="A41" s="1" t="str">
        <f aca="false">Underwriting!$A41</f>
        <v/>
      </c>
      <c r="B41" s="1" t="str">
        <f aca="false">Underwriting!$B41</f>
        <v/>
      </c>
      <c r="C41" s="1" t="str">
        <f aca="false">Underwriting!$C41</f>
        <v/>
      </c>
      <c r="D41" s="31" t="str">
        <f aca="false">Underwriting!$D41</f>
        <v/>
      </c>
      <c r="E41" s="14" t="str">
        <f aca="false">IF(Underwriting!$A41="","",Underwriting!$D41)</f>
        <v/>
      </c>
      <c r="F41" s="16" t="str">
        <f aca="false">IF(Underwriting!$A41="","",IF(Underwriting!$D41&gt;0,"Y","N"))</f>
        <v/>
      </c>
      <c r="G41" s="31" t="str">
        <f aca="false">IF(Underwriting!$A41="","",N(E41)*(DownPct+BuyerPremium))</f>
        <v/>
      </c>
      <c r="H41" s="31" t="str">
        <f aca="false">IF(Underwriting!$A41="","",IF(N(E41)&gt;0,N(E41)*(1-DownPct)+35,0))</f>
        <v/>
      </c>
      <c r="I41" s="31" t="str">
        <f aca="false">IF(Underwriting!$A41="","",IF(C41="Value-add hold",Underwriting!$AA41,Underwriting!$S41)+((N(E41))*(1+BuyerPremium)+IF(N(Deals!S41)=0,0,MIN(N(Deals!S41),MAX(0,N(Deals!S41)+SheriffCostsFromBid-(N(E41))*(1-RTTPurchase)))))-N(E41)*(1+BuyerPremium))</f>
        <v/>
      </c>
      <c r="J41" s="31" t="str">
        <f aca="false">IF(Underwriting!$A41="","",G41+H41+I41)</f>
        <v/>
      </c>
      <c r="K41" s="31" t="str">
        <f aca="false">IF(Underwriting!$A41="","",SUMIF($F$3:F41,"Y",$J$3:J41))</f>
        <v/>
      </c>
      <c r="L41" s="1" t="str">
        <f aca="false">IF(Underwriting!$A41="","",IF(C41="Value-add hold",TEXT(IFERROR(Underwriting!$Z41/(((N(E41))*(1+BuyerPremium)+IF(N(Deals!S41)=0,0,MIN(N(Deals!S41),MAX(0,N(Deals!S41)+SheriffCostsFromBid-(N(E41))*(1-RTTPurchase)))))+Underwriting!$AA41),0),"0.0%")&amp;" yield on cost",TEXT(Underwriting!$T41-((N(E41))*(1+BuyerPremium)+IF(N(Deals!S41)=0,0,MIN(N(Deals!S41),MAX(0,N(Deals!S41)+SheriffCostsFromBid-(N(E41))*(1-RTTPurchase))))),"$#,##0")&amp;" flip profit"))</f>
        <v/>
      </c>
    </row>
    <row r="42" customFormat="false" ht="15" hidden="false" customHeight="true" outlineLevel="0" collapsed="false">
      <c r="A42" s="1" t="str">
        <f aca="false">Underwriting!$A42</f>
        <v/>
      </c>
      <c r="B42" s="1" t="str">
        <f aca="false">Underwriting!$B42</f>
        <v/>
      </c>
      <c r="C42" s="1" t="str">
        <f aca="false">Underwriting!$C42</f>
        <v/>
      </c>
      <c r="D42" s="31" t="str">
        <f aca="false">Underwriting!$D42</f>
        <v/>
      </c>
      <c r="E42" s="14" t="str">
        <f aca="false">IF(Underwriting!$A42="","",Underwriting!$D42)</f>
        <v/>
      </c>
      <c r="F42" s="16" t="str">
        <f aca="false">IF(Underwriting!$A42="","",IF(Underwriting!$D42&gt;0,"Y","N"))</f>
        <v/>
      </c>
      <c r="G42" s="31" t="str">
        <f aca="false">IF(Underwriting!$A42="","",N(E42)*(DownPct+BuyerPremium))</f>
        <v/>
      </c>
      <c r="H42" s="31" t="str">
        <f aca="false">IF(Underwriting!$A42="","",IF(N(E42)&gt;0,N(E42)*(1-DownPct)+35,0))</f>
        <v/>
      </c>
      <c r="I42" s="31" t="str">
        <f aca="false">IF(Underwriting!$A42="","",IF(C42="Value-add hold",Underwriting!$AA42,Underwriting!$S42)+((N(E42))*(1+BuyerPremium)+IF(N(Deals!S42)=0,0,MIN(N(Deals!S42),MAX(0,N(Deals!S42)+SheriffCostsFromBid-(N(E42))*(1-RTTPurchase)))))-N(E42)*(1+BuyerPremium))</f>
        <v/>
      </c>
      <c r="J42" s="31" t="str">
        <f aca="false">IF(Underwriting!$A42="","",G42+H42+I42)</f>
        <v/>
      </c>
      <c r="K42" s="31" t="str">
        <f aca="false">IF(Underwriting!$A42="","",SUMIF($F$3:F42,"Y",$J$3:J42))</f>
        <v/>
      </c>
      <c r="L42" s="1" t="str">
        <f aca="false">IF(Underwriting!$A42="","",IF(C42="Value-add hold",TEXT(IFERROR(Underwriting!$Z42/(((N(E42))*(1+BuyerPremium)+IF(N(Deals!S42)=0,0,MIN(N(Deals!S42),MAX(0,N(Deals!S42)+SheriffCostsFromBid-(N(E42))*(1-RTTPurchase)))))+Underwriting!$AA42),0),"0.0%")&amp;" yield on cost",TEXT(Underwriting!$T42-((N(E42))*(1+BuyerPremium)+IF(N(Deals!S42)=0,0,MIN(N(Deals!S42),MAX(0,N(Deals!S42)+SheriffCostsFromBid-(N(E42))*(1-RTTPurchase))))),"$#,##0")&amp;" flip profit"))</f>
        <v/>
      </c>
    </row>
    <row r="44" customFormat="false" ht="15" hidden="false" customHeight="true" outlineLevel="0" collapsed="false">
      <c r="A44" s="23" t="s">
        <v>246</v>
      </c>
      <c r="B44" s="31" t="n">
        <f aca="false">MAX(0,SUMIF(F3:F42,"Y",G3:G42)-BidderDeposit)</f>
        <v>123307.070049571</v>
      </c>
    </row>
    <row r="45" customFormat="false" ht="15" hidden="false" customHeight="true" outlineLevel="0" collapsed="false">
      <c r="A45" s="23" t="s">
        <v>247</v>
      </c>
      <c r="B45" s="31" t="n">
        <f aca="false">BidderDeposit</f>
        <v>5000</v>
      </c>
    </row>
    <row r="46" customFormat="false" ht="15" hidden="false" customHeight="true" outlineLevel="0" collapsed="false">
      <c r="A46" s="23" t="s">
        <v>248</v>
      </c>
      <c r="B46" s="31" t="n">
        <f aca="false">SUMIF(F3:F42,"Y",H3:H42)</f>
        <v>1004387.28734447</v>
      </c>
    </row>
    <row r="47" customFormat="false" ht="15" hidden="false" customHeight="true" outlineLevel="0" collapsed="false">
      <c r="A47" s="23" t="s">
        <v>249</v>
      </c>
      <c r="B47" s="31" t="n">
        <f aca="false">SUMIF(F3:F42,"Y",I3:I42)</f>
        <v>729136.63855</v>
      </c>
    </row>
    <row r="48" customFormat="false" ht="15" hidden="false" customHeight="true" outlineLevel="0" collapsed="false">
      <c r="A48" s="23" t="s">
        <v>250</v>
      </c>
      <c r="B48" s="31" t="n">
        <f aca="false">SUMIF(F3:F42,"Y",J3:J42)</f>
        <v>1861830.99594404</v>
      </c>
    </row>
    <row r="49" customFormat="false" ht="15" hidden="false" customHeight="true" outlineLevel="0" collapsed="false">
      <c r="A49" s="23" t="s">
        <v>251</v>
      </c>
      <c r="B49" s="31" t="n">
        <f aca="false">CapitalCap</f>
        <v>1000000</v>
      </c>
    </row>
    <row r="50" customFormat="false" ht="15" hidden="false" customHeight="true" outlineLevel="0" collapsed="false">
      <c r="A50" s="23" t="s">
        <v>252</v>
      </c>
      <c r="B50" s="31" t="n">
        <f aca="false">B49-B48</f>
        <v>-861830.995944038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2026-10-25T19:17:08Z</dcterms:created>
  <dc:creator>openpyxl</dc:creator>
  <dc:description/>
  <dc:language>en-US</dc:language>
  <cp:lastModifiedBy/>
  <dcterms:modified xsi:type="dcterms:W3CDTF">2026-10-25T19:17:33Z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